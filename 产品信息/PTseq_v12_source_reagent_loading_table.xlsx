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bbfa90dbd942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试剂分装" sheetId="1" r:id="R529137f6de5a4528"/>
    <x:sheet xmlns:r="http://schemas.openxmlformats.org/officeDocument/2006/relationships" name="代码消耗" sheetId="2" r:id="Rb745ab6417fb433b"/>
    <x:sheet xmlns:r="http://schemas.openxmlformats.org/officeDocument/2006/relationships" name="计算明细" sheetId="3" r:id="R856cae1dafe54797"/>
    <x:sheet xmlns:r="http://schemas.openxmlformats.org/officeDocument/2006/relationships" name="说明" sheetId="4" r:id="R5756e49080ff44a8"/>
    <x:sheet xmlns:r="http://schemas.openxmlformats.org/officeDocument/2006/relationships" name="均一化设计" sheetId="5" r:id="Rccff625d11e64ca9"/>
  </x:sheets>
</x:workbook>
</file>

<file path=xl/sharedStrings.xml><?xml version="1.0" encoding="utf-8"?>
<x:sst xmlns:x="http://schemas.openxmlformats.org/spreadsheetml/2006/main">
  <x:si>
    <x:t xml:space="preserve">PTseq v12 试剂分装量（µL）</x:t>
  </x:si>
  <x:si>
    <x:t xml:space="preserve">试剂</x:t>
  </x:si>
  <x:si>
    <x:t xml:space="preserve">台面位置</x:t>
  </x:si>
  <x:si>
    <x:t xml:space="preserve">耗材类别</x:t>
  </x:si>
  <x:si>
    <x:t xml:space="preserve">来源冗余</x:t>
  </x:si>
  <x:si>
    <x:t xml:space="preserve">计算规则</x:t>
  </x:si>
  <x:si>
    <x:t xml:space="preserve">T1 cDNA引物</x:t>
  </x:si>
  <x:si>
    <x:t xml:space="preserve">POS17 C1R1</x:t>
  </x:si>
  <x:si>
    <x:t xml:space="preserve">0.5 mL冻存管</x:t>
  </x:si>
  <x:si>
    <x:t xml:space="preserve">+6 µL</x:t>
  </x:si>
  <x:si>
    <x:t xml:space="preserve">2 × N</x:t>
  </x:si>
  <x:si>
    <x:t xml:space="preserve">T2 cDNA缓冲液</x:t>
  </x:si>
  <x:si>
    <x:t xml:space="preserve">POS17 C2R1</x:t>
  </x:si>
  <x:si>
    <x:t xml:space="preserve">第9列反应液总量 / 2</x:t>
  </x:si>
  <x:si>
    <x:t xml:space="preserve">T3 cDNA酶</x:t>
  </x:si>
  <x:si>
    <x:t xml:space="preserve">POS17 C3R1</x:t>
  </x:si>
  <x:si>
    <x:t xml:space="preserve">T4 TA缓冲液</x:t>
  </x:si>
  <x:si>
    <x:t xml:space="preserve">POS17 C1R2</x:t>
  </x:si>
  <x:si>
    <x:t xml:space="preserve">+10 µL</x:t>
  </x:si>
  <x:si>
    <x:t xml:space="preserve">第10列反应液总量 × 5/15</x:t>
  </x:si>
  <x:si>
    <x:t xml:space="preserve">T5 TA酶</x:t>
  </x:si>
  <x:si>
    <x:t xml:space="preserve">POS17 C2R2</x:t>
  </x:si>
  <x:si>
    <x:t xml:space="preserve">第10列反应液总量 × 3/15</x:t>
  </x:si>
  <x:si>
    <x:t xml:space="preserve">T8 UDG酶</x:t>
  </x:si>
  <x:si>
    <x:t xml:space="preserve">POS17 C2R3</x:t>
  </x:si>
  <x:si>
    <x:t xml:space="preserve">2 mL管</x:t>
  </x:si>
  <x:si>
    <x:t xml:space="preserve">无源管冗余；手工预置到C2R3</x:t>
  </x:si>
  <x:si>
    <x:t xml:space="preserve">第11列反应液总量 × 1/30；T8直接在C2R3混合管内</x:t>
  </x:si>
  <x:si>
    <x:t xml:space="preserve">T7 LA/PCR Mix</x:t>
  </x:si>
  <x:si>
    <x:t xml:space="preserve">POS17 C1R3</x:t>
  </x:si>
  <x:si>
    <x:t xml:space="preserve">+15 µL，向上取5 µL</x:t>
  </x:si>
  <x:si>
    <x:t xml:space="preserve">第11列反应液总量 × 20/30 + 源管冗余</x:t>
  </x:si>
  <x:si>
    <x:t xml:space="preserve">T2缓冲液总量</x:t>
  </x:si>
  <x:si>
    <x:t xml:space="preserve">POS24 C1R2</x:t>
  </x:si>
  <x:si>
    <x:t xml:space="preserve">8 mL管</x:t>
  </x:si>
  <x:si>
    <x:t xml:space="preserve">+320 µL</x:t>
  </x:si>
  <x:si>
    <x:t xml:space="preserve">TA T2 + POS7 Col7 T2 + LA/PCR T2</x:t>
  </x:si>
  <x:si>
    <x:t xml:space="preserve">磁珠总量</x:t>
  </x:si>
  <x:si>
    <x:t xml:space="preserve">POS24 C1R1</x:t>
  </x:si>
  <x:si>
    <x:t xml:space="preserve">TA磁珠 50 × 1.4 × N + LA磁珠 55 × N</x:t>
  </x:si>
  <x:si>
    <x:t xml:space="preserve">矿物油</x:t>
  </x:si>
  <x:si>
    <x:t xml:space="preserve">POS24 C3R1</x:t>
  </x:si>
  <x:si>
    <x:t xml:space="preserve">按当前代码逻辑计算矿物油预分装总量</x:t>
  </x:si>
  <x:si>
    <x:t xml:space="preserve">80%乙醇</x:t>
  </x:si>
  <x:si>
    <x:t xml:space="preserve">POS3 reservoir</x:t>
  </x:si>
  <x:si>
    <x:t xml:space="preserve">50 mL储液槽</x:t>
  </x:si>
  <x:si>
    <x:t xml:space="preserve">+3200 µL</x:t>
  </x:si>
  <x:si>
    <x:t xml:space="preserve">195 × 5 × N</x:t>
  </x:si>
  <x:si>
    <x:t xml:space="preserve">Qubit染液工作液</x:t>
  </x:si>
  <x:si>
    <x:t xml:space="preserve">POS4 C1R1</x:t>
  </x:si>
  <x:si>
    <x:t xml:space="preserve">+1500 µL</x:t>
  </x:si>
  <x:si>
    <x:t xml:space="preserve">PTseq v12 代码理论消耗量（不含来源冗余，µL）</x:t>
  </x:si>
  <x:si>
    <x:t xml:space="preserve">来源项目</x:t>
  </x:si>
  <x:si>
    <x:t xml:space="preserve">耗材假设</x:t>
  </x:si>
  <x:si>
    <x:t xml:space="preserve">计算依据</x:t>
  </x:si>
  <x:si>
    <x:t xml:space="preserve">2 mL管（手工预置C2R3）</x:t>
  </x:si>
  <x:si>
    <x:t xml:space="preserve">第11列反应液总量 × 1/30；机器不吸T8</x:t>
  </x:si>
  <x:si>
    <x:t xml:space="preserve">第11列反应液总量 × 20/30</x:t>
  </x:si>
  <x:si>
    <x:t xml:space="preserve">PTseq v12 计算明细</x:t>
  </x:si>
  <x:si>
    <x:t xml:space="preserve">样本数</x:t>
  </x:si>
  <x:si>
    <x:t xml:space="preserve">环节</x:t>
  </x:si>
  <x:si>
    <x:t xml:space="preserve">项目</x:t>
  </x:si>
  <x:si>
    <x:t xml:space="preserve">体积（µL）</x:t>
  </x:si>
  <x:si>
    <x:t xml:space="preserve">公式/说明</x:t>
  </x:si>
  <x:si>
    <x:t xml:space="preserve">分支规则</x:t>
  </x:si>
  <x:si>
    <x:t xml:space="preserve">第9/10/11列反应液</x:t>
  </x:si>
  <x:si>
    <x:t xml:space="preserve">P1直接分装</x:t>
  </x:si>
  <x:si>
    <x:t xml:space="preserve">样本数≤16使用P1直接分装；样本数&gt;16使用POS7/P8中转。</x:t>
  </x:si>
  <x:si>
    <x:t xml:space="preserve">第9列 cDNA反应液</x:t>
  </x:si>
  <x:si>
    <x:t xml:space="preserve">混合管总量</x:t>
  </x:si>
  <x:si>
    <x:t xml:space="preserve">直接分装：4 × N + 15；POS7/P8：sum(活跃列数 × 4 + 20) + 15。</x:t>
  </x:si>
  <x:si>
    <x:t xml:space="preserve">第10列 TA反应液</x:t>
  </x:si>
  <x:si>
    <x:t xml:space="preserve">直接分装：15 × N + 25；POS7/P8：sum(活跃列数 × 15 + 20) + 25。</x:t>
  </x:si>
  <x:si>
    <x:t xml:space="preserve">第11列 LA/PCR反应液</x:t>
  </x:si>
  <x:si>
    <x:t xml:space="preserve">T8手工预置在C2R3 2 mL管内；直接分装：30 × N + 30；POS7/P8：sum(活跃列数 × 30 + 20) + 30。</x:t>
  </x:si>
  <x:si>
    <x:t xml:space="preserve">T2缓冲液共用来源</x:t>
  </x:si>
  <x:si>
    <x:t xml:space="preserve">TA T2组分</x:t>
  </x:si>
  <x:si>
    <x:t xml:space="preserve">第10列反应液总量 × 7/15。</x:t>
  </x:si>
  <x:si>
    <x:t xml:space="preserve">POS7 Col7 T2中转量</x:t>
  </x:si>
  <x:si>
    <x:t xml:space="preserve">代码模式：48 × 1.4 × N。</x:t>
  </x:si>
  <x:si>
    <x:t xml:space="preserve">LA/PCR T2组分</x:t>
  </x:si>
  <x:si>
    <x:t xml:space="preserve">第11列反应液总量 × 9/30；C2R3 T8混合管逻辑。</x:t>
  </x:si>
  <x:si>
    <x:t xml:space="preserve">Qubit染液</x:t>
  </x:si>
  <x:si>
    <x:t xml:space="preserve">POS4 C1R1分装量</x:t>
  </x:si>
  <x:si>
    <x:t xml:space="preserve">POS7/P8中转</x:t>
  </x:si>
  <x:si>
    <x:t xml:space="preserve">PTseq v12 说明与验证记录</x:t>
  </x:si>
  <x:si>
    <x:t xml:space="preserve">说明</x:t>
  </x:si>
  <x:si>
    <x:t xml:space="preserve">范围</x:t>
  </x:si>
  <x:si>
    <x:t xml:space="preserve">当前表格覆盖 cDNA、TA、LA/PCR、两轮磁珠纯化、矿物油、乙醇和 Qubit 定量所需来源试剂分装；不包含 pooling/makeDNB 试剂。</x:t>
  </x:si>
  <x:si>
    <x:t xml:space="preserve">样本数≤16时，第9/10/11列反应液使用低通量P1直接分装；样本数&gt;16时使用POS7/P8中转。</x:t>
  </x:si>
  <x:si>
    <x:t xml:space="preserve">来源死体积规则</x:t>
  </x:si>
  <x:si>
    <x:t xml:space="preserve">0.5 mL管 +6 µL；2 mL管 +15 µL；8 mL管 +320 µL；50 mL储液槽 +1500 µL。</x:t>
  </x:si>
  <x:si>
    <x:t xml:space="preserve">POS7封顶曲线</x:t>
  </x:si>
  <x:si>
    <x:t xml:space="preserve">POS7反应液中转孔按当前代码为：活跃下游列数 × 单次吸取体积 + 20 µL总冗余；仅适用于样本数&gt;16的cDNA、TA和LA/PCR普通反应液。</x:t>
  </x:si>
  <x:si>
    <x:t xml:space="preserve">混合管死体积</x:t>
  </x:si>
  <x:si>
    <x:t xml:space="preserve">POS17 Col4 Row1 cDNA混合管保留15 µL；POS17 Col4 Row2 TA混合管保留25 µL；POS17 C2R3 LA/PCR Master Mix使用T8 2 mL管作为混合管，保留30 µL。</x:t>
  </x:si>
  <x:si>
    <x:t xml:space="preserve">POS24 C1R2合并TA mix T2、POS7 Col7 T2中转量和LA/PCR mix T2，再增加一个8 mL来源死体积。</x:t>
  </x:si>
  <x:si>
    <x:t xml:space="preserve">乙醇</x:t>
  </x:si>
  <x:si>
    <x:t xml:space="preserve">POS3到POS7的乙醇预分装按每个活跃通道195 µL × 5轮计算，并额外加入50 mL储液槽余量。</x:t>
  </x:si>
  <x:si>
    <x:t xml:space="preserve">POS4 C1R1分装量已纳入：217.8 µL/样本 + 1500 µL 50 mL储液槽余量。</x:t>
  </x:si>
  <x:si>
    <x:t xml:space="preserve">更新记录</x:t>
  </x:si>
  <x:si>
    <x:t xml:space="preserve">2026-06-18：同步最新代码的POS7总冗余逻辑，并将TA/LA POS17 mixing tube冗余由15 µL调整为25 µL。</x:t>
  </x:si>
  <x:si>
    <x:t xml:space="preserve">2026-06-29：LA/PCR Master Mix迁移至POS17 C2R3 2 mL T8管；T8按1/30手工预置，不再加源管冗余；LA mixing tube冗余调整为30 µL。</x:t>
  </x:si>
  <x:si>
    <x:t xml:space="preserve">2026-06-29：T4 TA缓冲液、T5 TA酶源管死体积由 +6 µL 调整为 +10 µL（其余0.5 mL管仍 +6 µL）；仅改手工分装量，机器吸取量不变。</x:t>
  </x:si>
  <x:si>
    <x:t xml:space="preserve">2026-07-10：样本数&gt;16时，POS7 Col9/10/11普通反应液中转孔的单孔总冗余由10 µL提高至20 µL；POS17 mixing tube冗余及样本数≤16的P1直接分装逻辑不变。</x:t>
  </x:si>
</x:sst>
</file>

<file path=xl/styles.xml><?xml version="1.0" encoding="utf-8"?>
<x:styleSheet xmlns:x="http://schemas.openxmlformats.org/spreadsheetml/2006/main">
  <x:numFmts count="1">
    <x:numFmt numFmtId="200" formatCode="0.##"/>
  </x:numFmts>
  <x:fonts count="6">
    <x:font>
      <x:sz val="11"/>
      <x:name val="Carlito"/>
    </x:font>
    <x:font>
      <x:b/>
      <x:sz val="11"/>
      <x:name val="Carlito"/>
    </x:font>
    <x:font>
      <x:sz val="11"/>
      <x:name val="Carlito"/>
    </x:font>
    <x:font>
      <x:sz val="9"/>
      <x:name val="FangSong"/>
    </x:font>
    <x:font>
      <x:b/>
      <x:sz val="16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E8F1FA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2">
    <x:border/>
    <x:border/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</x:borders>
  <x:cellStyleXfs count="2">
    <x:xf numFmtId="0" fontId="0" fillId="0" borderId="1"/>
    <x:xf numFmtId="0" fontId="2" fillId="0" borderId="1"/>
  </x:cellStyleXfs>
  <x:cellXfs count="46">
    <x:xf numFmtId="0" fontId="0" fillId="0" borderId="0" xfId="0" applyBorder="1"/>
    <x:xf numFmtId="0" fontId="1" fillId="0" borderId="0" xfId="1" applyFont="1" applyBorder="1" applyAlignment="1">
      <x:alignment vertical="center" wrapText="1"/>
    </x:xf>
    <x:xf numFmtId="0" fontId="0" fillId="0" borderId="0" xfId="1" applyFont="1" applyBorder="1" applyAlignment="1">
      <x:alignment vertical="center" wrapText="1"/>
    </x:xf>
    <x:xf numFmtId="0" fontId="1" fillId="2" borderId="0" xfId="1" applyFont="1" applyFill="1" applyBorder="1" applyAlignment="1">
      <x:alignment vertical="center" wrapText="1"/>
    </x:xf>
    <x:xf numFmtId="0" fontId="0" fillId="0" borderId="1" xfId="1" applyFont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5" fillId="4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9dba58e4f64a91" /><Relationship Type="http://schemas.openxmlformats.org/officeDocument/2006/relationships/theme" Target="/xl/theme/theme1.xml" Id="Re6cf0f2054374d44" /><Relationship Type="http://schemas.openxmlformats.org/officeDocument/2006/relationships/sharedStrings" Target="/xl/sharedStrings.xml" Id="Rf63532b64dbd4e7d" /><Relationship Type="http://schemas.openxmlformats.org/officeDocument/2006/relationships/worksheet" Target="/xl/worksheets/sheet1.xml" Id="R529137f6de5a4528" /><Relationship Type="http://schemas.openxmlformats.org/officeDocument/2006/relationships/worksheet" Target="/xl/worksheets/sheet2.xml" Id="Rb745ab6417fb433b" /><Relationship Type="http://schemas.openxmlformats.org/officeDocument/2006/relationships/worksheet" Target="/xl/worksheets/sheet3.xml" Id="R856cae1dafe54797" /><Relationship Type="http://schemas.openxmlformats.org/officeDocument/2006/relationships/worksheet" Target="/xl/worksheets/sheet4.xml" Id="R5756e49080ff44a8" /><Relationship Type="http://schemas.openxmlformats.org/officeDocument/2006/relationships/worksheet" Target="/xl/worksheets/sheet5.xml" Id="Rccff625d11e64ca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3.5" customWidth="1"/>
    <x:col min="2" max="2" width="13.83203125" customWidth="1"/>
    <x:col min="3" max="3" width="12.83203125" hidden="1" customWidth="1"/>
    <x:col min="4" max="4" width="28.1640625" hidden="1" customWidth="1"/>
    <x:col min="5" max="5" width="46.33203125" hidden="1" customWidth="1"/>
    <x:col min="6" max="11" width="7" customWidth="1"/>
  </x:cols>
  <x:sheetData>
    <x:row r="1" ht="32">
      <x:c r="A1" s="1" t="s">
        <x:v>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16">
      <x:c r="A3" s="3" t="s">
        <x:v>1</x:v>
      </x:c>
      <x:c r="B3" s="3" t="s">
        <x:v>2</x:v>
      </x:c>
      <x:c r="C3" s="3" t="s">
        <x:v>3</x:v>
      </x:c>
      <x:c r="D3" s="3" t="s">
        <x:v>4</x:v>
      </x:c>
      <x:c r="E3" s="3" t="s">
        <x:v>5</x:v>
      </x:c>
      <x:c r="F3" s="3">
        <x:v>8</x:v>
      </x:c>
      <x:c r="G3" s="3">
        <x:v>16</x:v>
      </x:c>
      <x:c r="H3" s="3">
        <x:v>24</x:v>
      </x:c>
      <x:c r="I3" s="3">
        <x:v>32</x:v>
      </x:c>
      <x:c r="J3" s="3">
        <x:v>40</x:v>
      </x:c>
      <x:c r="K3" s="3">
        <x:v>48</x:v>
      </x:c>
    </x:row>
    <x:row r="4" ht="15">
      <x:c r="A4" s="4" t="s">
        <x:v>6</x:v>
      </x:c>
      <x:c r="B4" s="4" t="s">
        <x:v>7</x:v>
      </x:c>
      <x:c r="C4" s="4" t="s">
        <x:v>8</x:v>
      </x:c>
      <x:c r="D4" s="4" t="s">
        <x:v>9</x:v>
      </x:c>
      <x:c r="E4" s="4" t="s">
        <x:v>10</x:v>
      </x:c>
      <x:c r="F4" s="5">
        <x:v>25</x:v>
      </x:c>
      <x:c r="G4" s="5">
        <x:v>40</x:v>
      </x:c>
      <x:c r="H4" s="5">
        <x:v>55</x:v>
      </x:c>
      <x:c r="I4" s="5">
        <x:v>70</x:v>
      </x:c>
      <x:c r="J4" s="5">
        <x:v>90</x:v>
      </x:c>
      <x:c r="K4" s="5">
        <x:v>105</x:v>
      </x:c>
    </x:row>
    <x:row r="5" ht="15">
      <x:c r="A5" s="4" t="s">
        <x:v>11</x:v>
      </x:c>
      <x:c r="B5" s="4" t="s">
        <x:v>12</x:v>
      </x:c>
      <x:c r="C5" s="4" t="s">
        <x:v>8</x:v>
      </x:c>
      <x:c r="D5" s="4" t="s">
        <x:v>9</x:v>
      </x:c>
      <x:c r="E5" s="4" t="s">
        <x:v>13</x:v>
      </x:c>
      <x:c r="F5" s="5">
        <x:v>30</x:v>
      </x:c>
      <x:c r="G5" s="5">
        <x:v>50</x:v>
      </x:c>
      <x:c r="H5" s="5">
        <x:v>145</x:v>
      </x:c>
      <x:c r="I5" s="5">
        <x:v>160</x:v>
      </x:c>
      <x:c r="J5" s="5">
        <x:v>175</x:v>
      </x:c>
      <x:c r="K5" s="5">
        <x:v>190</x:v>
      </x:c>
    </x:row>
    <x:row r="6" ht="15">
      <x:c r="A6" s="4" t="s">
        <x:v>14</x:v>
      </x:c>
      <x:c r="B6" s="4" t="s">
        <x:v>15</x:v>
      </x:c>
      <x:c r="C6" s="4" t="s">
        <x:v>8</x:v>
      </x:c>
      <x:c r="D6" s="4" t="s">
        <x:v>9</x:v>
      </x:c>
      <x:c r="E6" s="4" t="s">
        <x:v>13</x:v>
      </x:c>
      <x:c r="F6" s="5">
        <x:v>30</x:v>
      </x:c>
      <x:c r="G6" s="5">
        <x:v>50</x:v>
      </x:c>
      <x:c r="H6" s="5">
        <x:v>145</x:v>
      </x:c>
      <x:c r="I6" s="5">
        <x:v>160</x:v>
      </x:c>
      <x:c r="J6" s="5">
        <x:v>175</x:v>
      </x:c>
      <x:c r="K6" s="5">
        <x:v>190</x:v>
      </x:c>
    </x:row>
    <x:row r="7" ht="15">
      <x:c r="A7" s="4" t="s">
        <x:v>16</x:v>
      </x:c>
      <x:c r="B7" s="4" t="s">
        <x:v>17</x:v>
      </x:c>
      <x:c r="C7" s="4" t="s">
        <x:v>8</x:v>
      </x:c>
      <x:c r="D7" s="4" t="s">
        <x:v>18</x:v>
      </x:c>
      <x:c r="E7" s="4" t="s">
        <x:v>19</x:v>
      </x:c>
      <x:c r="F7" s="5">
        <x:v>60</x:v>
      </x:c>
      <x:c r="G7" s="5">
        <x:v>100</x:v>
      </x:c>
      <x:c r="H7" s="5">
        <x:v>195</x:v>
      </x:c>
      <x:c r="I7" s="5">
        <x:v>235</x:v>
      </x:c>
      <x:c r="J7" s="5">
        <x:v>275</x:v>
      </x:c>
      <x:c r="K7" s="5">
        <x:v>315</x:v>
      </x:c>
    </x:row>
    <x:row r="8" ht="15">
      <x:c r="A8" s="4" t="s">
        <x:v>20</x:v>
      </x:c>
      <x:c r="B8" s="4" t="s">
        <x:v>21</x:v>
      </x:c>
      <x:c r="C8" s="4" t="s">
        <x:v>8</x:v>
      </x:c>
      <x:c r="D8" s="4" t="s">
        <x:v>18</x:v>
      </x:c>
      <x:c r="E8" s="4" t="s">
        <x:v>22</x:v>
      </x:c>
      <x:c r="F8" s="5">
        <x:v>40</x:v>
      </x:c>
      <x:c r="G8" s="5">
        <x:v>65</x:v>
      </x:c>
      <x:c r="H8" s="5">
        <x:v>120</x:v>
      </x:c>
      <x:c r="I8" s="5">
        <x:v>145</x:v>
      </x:c>
      <x:c r="J8" s="5">
        <x:v>170</x:v>
      </x:c>
      <x:c r="K8" s="5">
        <x:v>195</x:v>
      </x:c>
    </x:row>
    <x:row r="9" ht="15">
      <x:c r="A9" s="4" t="s">
        <x:v>23</x:v>
      </x:c>
      <x:c r="B9" s="4" t="s">
        <x:v>24</x:v>
      </x:c>
      <x:c r="C9" s="4" t="s">
        <x:v>25</x:v>
      </x:c>
      <x:c r="D9" s="4" t="s">
        <x:v>26</x:v>
      </x:c>
      <x:c r="E9" s="4" t="s">
        <x:v>27</x:v>
      </x:c>
      <x:c r="F9" s="5">
        <x:v>9</x:v>
      </x:c>
      <x:c r="G9" s="5">
        <x:v>17</x:v>
      </x:c>
      <x:c r="H9" s="5">
        <x:v>30.33</x:v>
      </x:c>
      <x:c r="I9" s="5">
        <x:v>38.33</x:v>
      </x:c>
      <x:c r="J9" s="5">
        <x:v>46.33</x:v>
      </x:c>
      <x:c r="K9" s="5">
        <x:v>54.33</x:v>
      </x:c>
    </x:row>
    <x:row r="10" ht="15">
      <x:c r="A10" s="4" t="s">
        <x:v>28</x:v>
      </x:c>
      <x:c r="B10" s="4" t="s">
        <x:v>29</x:v>
      </x:c>
      <x:c r="C10" s="4" t="s">
        <x:v>25</x:v>
      </x:c>
      <x:c r="D10" s="4" t="s">
        <x:v>30</x:v>
      </x:c>
      <x:c r="E10" s="4" t="s">
        <x:v>31</x:v>
      </x:c>
      <x:c r="F10" s="5">
        <x:v>195</x:v>
      </x:c>
      <x:c r="G10" s="5">
        <x:v>355</x:v>
      </x:c>
      <x:c r="H10" s="5">
        <x:v>625</x:v>
      </x:c>
      <x:c r="I10" s="5">
        <x:v>785</x:v>
      </x:c>
      <x:c r="J10" s="5">
        <x:v>945</x:v>
      </x:c>
      <x:c r="K10" s="5">
        <x:v>1105</x:v>
      </x:c>
    </x:row>
    <x:row r="11" ht="15">
      <x:c r="A11" s="4" t="s">
        <x:v>32</x:v>
      </x:c>
      <x:c r="B11" s="4" t="s">
        <x:v>33</x:v>
      </x:c>
      <x:c r="C11" s="4" t="s">
        <x:v>34</x:v>
      </x:c>
      <x:c r="D11" s="4" t="s">
        <x:v>35</x:v>
      </x:c>
      <x:c r="E11" s="4" t="s">
        <x:v>36</x:v>
      </x:c>
      <x:c r="F11" s="5">
        <x:v>1010</x:v>
      </x:c>
      <x:c r="G11" s="5">
        <x:v>1675</x:v>
      </x:c>
      <x:c r="H11" s="5">
        <x:v>2465</x:v>
      </x:c>
      <x:c r="I11" s="5">
        <x:v>3130</x:v>
      </x:c>
      <x:c r="J11" s="5">
        <x:v>3795</x:v>
      </x:c>
      <x:c r="K11" s="5">
        <x:v>4460</x:v>
      </x:c>
    </x:row>
    <x:row r="12" ht="15">
      <x:c r="A12" s="4" t="s">
        <x:v>37</x:v>
      </x:c>
      <x:c r="B12" s="4" t="s">
        <x:v>38</x:v>
      </x:c>
      <x:c r="C12" s="4" t="s">
        <x:v>34</x:v>
      </x:c>
      <x:c r="D12" s="4" t="s">
        <x:v>35</x:v>
      </x:c>
      <x:c r="E12" s="4" t="s">
        <x:v>39</x:v>
      </x:c>
      <x:c r="F12" s="5">
        <x:v>1320</x:v>
      </x:c>
      <x:c r="G12" s="5">
        <x:v>2320</x:v>
      </x:c>
      <x:c r="H12" s="5">
        <x:v>3320</x:v>
      </x:c>
      <x:c r="I12" s="5">
        <x:v>4320</x:v>
      </x:c>
      <x:c r="J12" s="5">
        <x:v>5320</x:v>
      </x:c>
      <x:c r="K12" s="5">
        <x:v>6320</x:v>
      </x:c>
    </x:row>
    <x:row r="13" ht="15">
      <x:c r="A13" s="4" t="s">
        <x:v>40</x:v>
      </x:c>
      <x:c r="B13" s="4" t="s">
        <x:v>41</x:v>
      </x:c>
      <x:c r="C13" s="4" t="s">
        <x:v>34</x:v>
      </x:c>
      <x:c r="D13" s="4" t="s">
        <x:v>35</x:v>
      </x:c>
      <x:c r="E13" s="4" t="s">
        <x:v>42</x:v>
      </x:c>
      <x:c r="F13" s="5">
        <x:v>880</x:v>
      </x:c>
      <x:c r="G13" s="5">
        <x:v>1440</x:v>
      </x:c>
      <x:c r="H13" s="5">
        <x:v>2000</x:v>
      </x:c>
      <x:c r="I13" s="5">
        <x:v>2240</x:v>
      </x:c>
      <x:c r="J13" s="5">
        <x:v>2720</x:v>
      </x:c>
      <x:c r="K13" s="5">
        <x:v>3200</x:v>
      </x:c>
    </x:row>
    <x:row r="14" ht="15">
      <x:c r="A14" s="4" t="s">
        <x:v>43</x:v>
      </x:c>
      <x:c r="B14" s="4" t="s">
        <x:v>44</x:v>
      </x:c>
      <x:c r="C14" s="4" t="s">
        <x:v>45</x:v>
      </x:c>
      <x:c r="D14" s="4" t="s">
        <x:v>46</x:v>
      </x:c>
      <x:c r="E14" s="4" t="s">
        <x:v>47</x:v>
      </x:c>
      <x:c r="F14" s="5">
        <x:v>11000</x:v>
      </x:c>
      <x:c r="G14" s="5">
        <x:v>18800</x:v>
      </x:c>
      <x:c r="H14" s="5">
        <x:v>26600</x:v>
      </x:c>
      <x:c r="I14" s="5">
        <x:v>34400</x:v>
      </x:c>
      <x:c r="J14" s="5">
        <x:v>42200</x:v>
      </x:c>
      <x:c r="K14" s="5">
        <x:v>50000</x:v>
      </x:c>
    </x:row>
    <x:row r="15" ht="15">
      <x:c r="A15" s="4" t="s">
        <x:v>48</x:v>
      </x:c>
      <x:c r="B15" s="4" t="s">
        <x:v>49</x:v>
      </x:c>
      <x:c r="C15" s="4" t="s">
        <x:v>45</x:v>
      </x:c>
      <x:c r="D15" s="4" t="s">
        <x:v>50</x:v>
      </x:c>
      <x:c r="E15" s="4" t="str">
        <x:v>两轮定量：2 × 217.8 × N + 1500 µL</x:v>
      </x:c>
      <x:c r="F15" s="5" t="n">
        <x:f>CEILING(F$3*217.8*2+1500,5)</x:f>
        <x:v>4985</x:v>
      </x:c>
      <x:c r="G15" s="5" t="n">
        <x:f>CEILING(G$3*217.8*2+1500,5)</x:f>
        <x:v>8470</x:v>
      </x:c>
      <x:c r="H15" s="5" t="n">
        <x:f>CEILING(H$3*217.8*2+1500,5)</x:f>
        <x:v>11955</x:v>
      </x:c>
      <x:c r="I15" s="5" t="n">
        <x:f>CEILING(I$3*217.8*2+1500,5)</x:f>
        <x:v>15440</x:v>
      </x:c>
      <x:c r="J15" s="5" t="n">
        <x:f>CEILING(J$3*217.8*2+1500,5)</x:f>
        <x:v>18925</x:v>
      </x:c>
      <x:c r="K15" s="5" t="n">
        <x:f>CEILING(K$3*217.8*2+1500,5)</x:f>
        <x:v>22410</x:v>
      </x:c>
    </x:row>
    <x:row r="16" ht="20" customHeight="1">
      <x:c r="A16" t="str">
        <x:v>均一化无核酸水</x:v>
      </x:c>
      <x:c r="B16" t="str">
        <x:v>POS24 A2</x:v>
      </x:c>
      <x:c r="C16" t="str">
        <x:v>5 mL管</x:v>
      </x:c>
      <x:c r="D16" t="str">
        <x:v>+320 µL（最坏情况）</x:v>
      </x:c>
      <x:c r="E16" t="str">
        <x:v>max(0, 30 - 600/C) × N；表内按27 × N上限</x:v>
      </x:c>
      <x:c r="F16" s="6" t="n">
        <x:f>F$3*27+320</x:f>
        <x:v>536</x:v>
      </x:c>
      <x:c r="G16" s="6" t="n">
        <x:f>G$3*27+320</x:f>
        <x:v>752</x:v>
      </x:c>
      <x:c r="H16" s="6" t="n">
        <x:f>H$3*27+320</x:f>
        <x:v>968</x:v>
      </x:c>
      <x:c r="I16" s="6" t="n">
        <x:f>I$3*27+320</x:f>
        <x:v>1184</x:v>
      </x:c>
      <x:c r="J16" s="6" t="n">
        <x:f>J$3*27+320</x:f>
        <x:v>1400</x:v>
      </x:c>
      <x:c r="K16" s="6" t="n">
        <x:f>K$3*27+320</x:f>
        <x:v>1616</x:v>
      </x:c>
    </x:row>
    <x:row r="17" ht="20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3.6640625" customWidth="1"/>
    <x:col min="2" max="2" width="13.83203125" customWidth="1"/>
    <x:col min="3" max="3" width="17.5" customWidth="1"/>
    <x:col min="4" max="4" width="22.83203125" customWidth="1"/>
    <x:col min="5" max="5" width="7.5" customWidth="1"/>
    <x:col min="6" max="10" width="8.5" customWidth="1"/>
  </x:cols>
  <x:sheetData>
    <x:row r="1" ht="32">
      <x:c r="A1" s="1" t="s">
        <x:v>51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</x:row>
    <x:row r="3" ht="16">
      <x:c r="A3" s="3" t="s">
        <x:v>52</x:v>
      </x:c>
      <x:c r="B3" s="3" t="s">
        <x:v>2</x:v>
      </x:c>
      <x:c r="C3" s="3" t="s">
        <x:v>53</x:v>
      </x:c>
      <x:c r="D3" s="3" t="s">
        <x:v>54</x:v>
      </x:c>
      <x:c r="E3" s="3">
        <x:v>8</x:v>
      </x:c>
      <x:c r="F3" s="3">
        <x:v>16</x:v>
      </x:c>
      <x:c r="G3" s="3">
        <x:v>24</x:v>
      </x:c>
      <x:c r="H3" s="3">
        <x:v>32</x:v>
      </x:c>
      <x:c r="I3" s="3">
        <x:v>40</x:v>
      </x:c>
      <x:c r="J3" s="3">
        <x:v>48</x:v>
      </x:c>
    </x:row>
    <x:row r="4" ht="15">
      <x:c r="A4" s="4" t="s">
        <x:v>6</x:v>
      </x:c>
      <x:c r="B4" s="4" t="s">
        <x:v>7</x:v>
      </x:c>
      <x:c r="C4" s="4" t="s">
        <x:v>8</x:v>
      </x:c>
      <x:c r="D4" s="4" t="s">
        <x:v>10</x:v>
      </x:c>
      <x:c r="E4" s="5">
        <x:v>16</x:v>
      </x:c>
      <x:c r="F4" s="5">
        <x:v>32</x:v>
      </x:c>
      <x:c r="G4" s="5">
        <x:v>48</x:v>
      </x:c>
      <x:c r="H4" s="5">
        <x:v>64</x:v>
      </x:c>
      <x:c r="I4" s="5">
        <x:v>80</x:v>
      </x:c>
      <x:c r="J4" s="5">
        <x:v>96</x:v>
      </x:c>
    </x:row>
    <x:row r="5" ht="15">
      <x:c r="A5" s="4" t="s">
        <x:v>11</x:v>
      </x:c>
      <x:c r="B5" s="4" t="s">
        <x:v>12</x:v>
      </x:c>
      <x:c r="C5" s="4" t="s">
        <x:v>8</x:v>
      </x:c>
      <x:c r="D5" s="4" t="s">
        <x:v>13</x:v>
      </x:c>
      <x:c r="E5" s="5">
        <x:v>23.5</x:v>
      </x:c>
      <x:c r="F5" s="5">
        <x:v>39.5</x:v>
      </x:c>
      <x:c r="G5" s="5">
        <x:v>135.5</x:v>
      </x:c>
      <x:c r="H5" s="5">
        <x:v>151.5</x:v>
      </x:c>
      <x:c r="I5" s="5">
        <x:v>167.5</x:v>
      </x:c>
      <x:c r="J5" s="5">
        <x:v>183.5</x:v>
      </x:c>
    </x:row>
    <x:row r="6" ht="15">
      <x:c r="A6" s="4" t="s">
        <x:v>14</x:v>
      </x:c>
      <x:c r="B6" s="4" t="s">
        <x:v>15</x:v>
      </x:c>
      <x:c r="C6" s="4" t="s">
        <x:v>8</x:v>
      </x:c>
      <x:c r="D6" s="4" t="s">
        <x:v>13</x:v>
      </x:c>
      <x:c r="E6" s="5">
        <x:v>23.5</x:v>
      </x:c>
      <x:c r="F6" s="5">
        <x:v>39.5</x:v>
      </x:c>
      <x:c r="G6" s="5">
        <x:v>135.5</x:v>
      </x:c>
      <x:c r="H6" s="5">
        <x:v>151.5</x:v>
      </x:c>
      <x:c r="I6" s="5">
        <x:v>167.5</x:v>
      </x:c>
      <x:c r="J6" s="5">
        <x:v>183.5</x:v>
      </x:c>
    </x:row>
    <x:row r="7" ht="15">
      <x:c r="A7" s="4" t="s">
        <x:v>16</x:v>
      </x:c>
      <x:c r="B7" s="4" t="s">
        <x:v>17</x:v>
      </x:c>
      <x:c r="C7" s="4" t="s">
        <x:v>8</x:v>
      </x:c>
      <x:c r="D7" s="4" t="s">
        <x:v>19</x:v>
      </x:c>
      <x:c r="E7" s="5">
        <x:v>48.33</x:v>
      </x:c>
      <x:c r="F7" s="5">
        <x:v>88.33</x:v>
      </x:c>
      <x:c r="G7" s="5">
        <x:v>181.67</x:v>
      </x:c>
      <x:c r="H7" s="5">
        <x:v>221.67</x:v>
      </x:c>
      <x:c r="I7" s="5">
        <x:v>261.67</x:v>
      </x:c>
      <x:c r="J7" s="5">
        <x:v>301.67</x:v>
      </x:c>
    </x:row>
    <x:row r="8" ht="15">
      <x:c r="A8" s="4" t="s">
        <x:v>20</x:v>
      </x:c>
      <x:c r="B8" s="4" t="s">
        <x:v>21</x:v>
      </x:c>
      <x:c r="C8" s="4" t="s">
        <x:v>8</x:v>
      </x:c>
      <x:c r="D8" s="4" t="s">
        <x:v>22</x:v>
      </x:c>
      <x:c r="E8" s="5">
        <x:v>29</x:v>
      </x:c>
      <x:c r="F8" s="5">
        <x:v>53</x:v>
      </x:c>
      <x:c r="G8" s="5">
        <x:v>109</x:v>
      </x:c>
      <x:c r="H8" s="5">
        <x:v>133</x:v>
      </x:c>
      <x:c r="I8" s="5">
        <x:v>157</x:v>
      </x:c>
      <x:c r="J8" s="5">
        <x:v>181</x:v>
      </x:c>
    </x:row>
    <x:row r="9" ht="30">
      <x:c r="A9" s="4" t="s">
        <x:v>23</x:v>
      </x:c>
      <x:c r="B9" s="4" t="s">
        <x:v>24</x:v>
      </x:c>
      <x:c r="C9" s="4" t="s">
        <x:v>55</x:v>
      </x:c>
      <x:c r="D9" s="4" t="s">
        <x:v>56</x:v>
      </x:c>
      <x:c r="E9" s="5">
        <x:v>9</x:v>
      </x:c>
      <x:c r="F9" s="5">
        <x:v>17</x:v>
      </x:c>
      <x:c r="G9" s="5">
        <x:v>30.33</x:v>
      </x:c>
      <x:c r="H9" s="5">
        <x:v>38.33</x:v>
      </x:c>
      <x:c r="I9" s="5">
        <x:v>46.33</x:v>
      </x:c>
      <x:c r="J9" s="5">
        <x:v>54.33</x:v>
      </x:c>
    </x:row>
    <x:row r="10" ht="15">
      <x:c r="A10" s="4" t="s">
        <x:v>28</x:v>
      </x:c>
      <x:c r="B10" s="4" t="s">
        <x:v>29</x:v>
      </x:c>
      <x:c r="C10" s="4" t="s">
        <x:v>25</x:v>
      </x:c>
      <x:c r="D10" s="4" t="s">
        <x:v>57</x:v>
      </x:c>
      <x:c r="E10" s="5">
        <x:v>180</x:v>
      </x:c>
      <x:c r="F10" s="5">
        <x:v>340</x:v>
      </x:c>
      <x:c r="G10" s="5">
        <x:v>606.66999999999996</x:v>
      </x:c>
      <x:c r="H10" s="5">
        <x:v>766.67</x:v>
      </x:c>
      <x:c r="I10" s="5">
        <x:v>926.67</x:v>
      </x:c>
      <x:c r="J10" s="5">
        <x:v>1086.67</x:v>
      </x:c>
    </x:row>
    <x:row r="11" ht="30">
      <x:c r="A11" s="4" t="s">
        <x:v>32</x:v>
      </x:c>
      <x:c r="B11" s="4" t="s">
        <x:v>33</x:v>
      </x:c>
      <x:c r="C11" s="4" t="s">
        <x:v>34</x:v>
      </x:c>
      <x:c r="D11" s="4" t="s">
        <x:v>36</x:v>
      </x:c>
      <x:c r="E11" s="5">
        <x:v>686.27</x:v>
      </x:c>
      <x:c r="F11" s="5">
        <x:v>1351.87</x:v>
      </x:c>
      <x:c r="G11" s="5">
        <x:v>2140.13</x:v>
      </x:c>
      <x:c r="H11" s="5">
        <x:v>2805.73</x:v>
      </x:c>
      <x:c r="I11" s="5">
        <x:v>3471.33</x:v>
      </x:c>
      <x:c r="J11" s="5">
        <x:v>4136.93</x:v>
      </x:c>
    </x:row>
    <x:row r="12" ht="30">
      <x:c r="A12" s="4" t="s">
        <x:v>37</x:v>
      </x:c>
      <x:c r="B12" s="4" t="s">
        <x:v>38</x:v>
      </x:c>
      <x:c r="C12" s="4" t="s">
        <x:v>34</x:v>
      </x:c>
      <x:c r="D12" s="4" t="s">
        <x:v>39</x:v>
      </x:c>
      <x:c r="E12" s="5">
        <x:v>1000</x:v>
      </x:c>
      <x:c r="F12" s="5">
        <x:v>2000</x:v>
      </x:c>
      <x:c r="G12" s="5">
        <x:v>3000</x:v>
      </x:c>
      <x:c r="H12" s="5">
        <x:v>4000</x:v>
      </x:c>
      <x:c r="I12" s="5">
        <x:v>5000</x:v>
      </x:c>
      <x:c r="J12" s="5">
        <x:v>6000</x:v>
      </x:c>
    </x:row>
    <x:row r="13" ht="30">
      <x:c r="A13" s="4" t="s">
        <x:v>40</x:v>
      </x:c>
      <x:c r="B13" s="4" t="s">
        <x:v>41</x:v>
      </x:c>
      <x:c r="C13" s="4" t="s">
        <x:v>34</x:v>
      </x:c>
      <x:c r="D13" s="4" t="s">
        <x:v>42</x:v>
      </x:c>
      <x:c r="E13" s="5">
        <x:v>560</x:v>
      </x:c>
      <x:c r="F13" s="5">
        <x:v>1120</x:v>
      </x:c>
      <x:c r="G13" s="5">
        <x:v>1680</x:v>
      </x:c>
      <x:c r="H13" s="5">
        <x:v>1920</x:v>
      </x:c>
      <x:c r="I13" s="5">
        <x:v>2400</x:v>
      </x:c>
      <x:c r="J13" s="5">
        <x:v>2880</x:v>
      </x:c>
    </x:row>
    <x:row r="14" ht="15">
      <x:c r="A14" s="4" t="s">
        <x:v>43</x:v>
      </x:c>
      <x:c r="B14" s="4" t="s">
        <x:v>44</x:v>
      </x:c>
      <x:c r="C14" s="4" t="s">
        <x:v>45</x:v>
      </x:c>
      <x:c r="D14" s="4" t="s">
        <x:v>47</x:v>
      </x:c>
      <x:c r="E14" s="5">
        <x:v>7800</x:v>
      </x:c>
      <x:c r="F14" s="5">
        <x:v>15600</x:v>
      </x:c>
      <x:c r="G14" s="5">
        <x:v>23400</x:v>
      </x:c>
      <x:c r="H14" s="5">
        <x:v>31200</x:v>
      </x:c>
      <x:c r="I14" s="5">
        <x:v>39000</x:v>
      </x:c>
      <x:c r="J14" s="5">
        <x:v>46800</x:v>
      </x:c>
    </x:row>
    <x:row r="15" ht="15">
      <x:c r="A15" s="4" t="s">
        <x:v>48</x:v>
      </x:c>
      <x:c r="B15" s="4" t="s">
        <x:v>49</x:v>
      </x:c>
      <x:c r="C15" s="4" t="s">
        <x:v>45</x:v>
      </x:c>
      <x:c r="D15" s="4" t="str">
        <x:v>两轮定量：2 × 217.8 × N</x:v>
      </x:c>
      <x:c r="E15" s="5" t="n">
        <x:f>E$3*217.8*2</x:f>
        <x:v>3484.8</x:v>
      </x:c>
      <x:c r="F15" s="5" t="n">
        <x:f>F$3*217.8*2</x:f>
        <x:v>6969.6</x:v>
      </x:c>
      <x:c r="G15" s="5" t="n">
        <x:f>G$3*217.8*2</x:f>
        <x:v>10454.400000000001</x:v>
      </x:c>
      <x:c r="H15" s="5" t="n">
        <x:f>H$3*217.8*2</x:f>
        <x:v>13939.2</x:v>
      </x:c>
      <x:c r="I15" s="5" t="n">
        <x:f>I$3*217.8*2</x:f>
        <x:v>17424</x:v>
      </x:c>
      <x:c r="J15" s="5" t="n">
        <x:f>J$3*217.8*2</x:f>
        <x:v>20908.800000000003</x:v>
      </x:c>
    </x:row>
    <x:row r="16" ht="20" customHeight="1">
      <x:c r="A16" t="str">
        <x:v>均一化无核酸水</x:v>
      </x:c>
      <x:c r="B16" t="str">
        <x:v>POS24 A2</x:v>
      </x:c>
      <x:c r="C16" t="str">
        <x:v>5 mL管</x:v>
      </x:c>
      <x:c r="D16" t="str">
        <x:v>每个样本最大补水27 µL；实际值见均一化输出表</x:v>
      </x:c>
      <x:c r="E16" s="6" t="n">
        <x:f>E$3*27</x:f>
        <x:v>216</x:v>
      </x:c>
      <x:c r="F16" s="6" t="n">
        <x:f>F$3*27</x:f>
        <x:v>432</x:v>
      </x:c>
      <x:c r="G16" s="6" t="n">
        <x:f>G$3*27</x:f>
        <x:v>648</x:v>
      </x:c>
      <x:c r="H16" s="6" t="n">
        <x:f>H$3*27</x:f>
        <x:v>864</x:v>
      </x:c>
      <x:c r="I16" s="6" t="n">
        <x:f>I$3*27</x:f>
        <x:v>1080</x:v>
      </x:c>
      <x:c r="J16" s="6" t="n">
        <x:f>J$3*27</x:f>
        <x:v>1296</x:v>
      </x:c>
    </x:row>
    <x:row r="17" ht="20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18.1640625" customWidth="1"/>
    <x:col min="2" max="2" width="20.6640625" customWidth="1"/>
    <x:col min="3" max="3" width="19" customWidth="1"/>
    <x:col min="4" max="4" width="12.33203125" customWidth="1"/>
    <x:col min="5" max="5" width="88.33203125" customWidth="1"/>
  </x:cols>
  <x:sheetData>
    <x:row r="1" ht="16">
      <x:c r="A1" s="1" t="s">
        <x:v>58</x:v>
      </x:c>
      <x:c r="B1" s="2"/>
      <x:c r="C1" s="2"/>
      <x:c r="D1" s="2"/>
      <x:c r="E1" s="2"/>
    </x:row>
    <x:row r="2">
      <x:c r="A2" s="2"/>
      <x:c r="B2" s="2"/>
      <x:c r="C2" s="2"/>
      <x:c r="D2" s="2"/>
      <x:c r="E2" s="2"/>
    </x:row>
    <x:row r="3" ht="16">
      <x:c r="A3" s="3" t="s">
        <x:v>59</x:v>
      </x:c>
      <x:c r="B3" s="3" t="s">
        <x:v>60</x:v>
      </x:c>
      <x:c r="C3" s="3" t="s">
        <x:v>61</x:v>
      </x:c>
      <x:c r="D3" s="3" t="s">
        <x:v>62</x:v>
      </x:c>
      <x:c r="E3" s="3" t="s">
        <x:v>63</x:v>
      </x:c>
    </x:row>
    <x:row r="4" ht="15">
      <x:c r="A4" s="4">
        <x:v>8</x:v>
      </x:c>
      <x:c r="B4" s="4" t="s">
        <x:v>64</x:v>
      </x:c>
      <x:c r="C4" s="4" t="s">
        <x:v>65</x:v>
      </x:c>
      <x:c r="D4" s="5" t="s">
        <x:v>66</x:v>
      </x:c>
      <x:c r="E4" s="4" t="s">
        <x:v>67</x:v>
      </x:c>
    </x:row>
    <x:row r="5" ht="15">
      <x:c r="A5" s="4">
        <x:v>8</x:v>
      </x:c>
      <x:c r="B5" s="4" t="s">
        <x:v>68</x:v>
      </x:c>
      <x:c r="C5" s="4" t="s">
        <x:v>69</x:v>
      </x:c>
      <x:c r="D5" s="5">
        <x:v>47</x:v>
      </x:c>
      <x:c r="E5" s="4" t="s">
        <x:v>70</x:v>
      </x:c>
    </x:row>
    <x:row r="6" ht="15">
      <x:c r="A6" s="4">
        <x:v>8</x:v>
      </x:c>
      <x:c r="B6" s="4" t="s">
        <x:v>71</x:v>
      </x:c>
      <x:c r="C6" s="4" t="s">
        <x:v>69</x:v>
      </x:c>
      <x:c r="D6" s="5">
        <x:v>145</x:v>
      </x:c>
      <x:c r="E6" s="4" t="s">
        <x:v>72</x:v>
      </x:c>
    </x:row>
    <x:row r="7" ht="15">
      <x:c r="A7" s="4">
        <x:v>8</x:v>
      </x:c>
      <x:c r="B7" s="4" t="s">
        <x:v>73</x:v>
      </x:c>
      <x:c r="C7" s="4" t="s">
        <x:v>69</x:v>
      </x:c>
      <x:c r="D7" s="5">
        <x:v>270</x:v>
      </x:c>
      <x:c r="E7" s="4" t="s">
        <x:v>74</x:v>
      </x:c>
    </x:row>
    <x:row r="8" ht="15">
      <x:c r="A8" s="4">
        <x:v>8</x:v>
      </x:c>
      <x:c r="B8" s="4" t="s">
        <x:v>75</x:v>
      </x:c>
      <x:c r="C8" s="4" t="s">
        <x:v>76</x:v>
      </x:c>
      <x:c r="D8" s="5">
        <x:v>67.67</x:v>
      </x:c>
      <x:c r="E8" s="4" t="s">
        <x:v>77</x:v>
      </x:c>
    </x:row>
    <x:row r="9" ht="15">
      <x:c r="A9" s="4">
        <x:v>8</x:v>
      </x:c>
      <x:c r="B9" s="4" t="s">
        <x:v>75</x:v>
      </x:c>
      <x:c r="C9" s="4" t="s">
        <x:v>78</x:v>
      </x:c>
      <x:c r="D9" s="5">
        <x:v>537.6</x:v>
      </x:c>
      <x:c r="E9" s="4" t="s">
        <x:v>79</x:v>
      </x:c>
    </x:row>
    <x:row r="10" ht="15">
      <x:c r="A10" s="4">
        <x:v>8</x:v>
      </x:c>
      <x:c r="B10" s="4" t="s">
        <x:v>75</x:v>
      </x:c>
      <x:c r="C10" s="4" t="s">
        <x:v>80</x:v>
      </x:c>
      <x:c r="D10" s="5">
        <x:v>81</x:v>
      </x:c>
      <x:c r="E10" s="4" t="s">
        <x:v>81</x:v>
      </x:c>
    </x:row>
    <x:row r="11" ht="15">
      <x:c r="A11" s="4">
        <x:v>8</x:v>
      </x:c>
      <x:c r="B11" s="4" t="s">
        <x:v>82</x:v>
      </x:c>
      <x:c r="C11" s="4" t="s">
        <x:v>83</x:v>
      </x:c>
      <x:c r="D11" s="5" t="n">
        <x:f>A11*217.8*2+1500</x:f>
        <x:v>4984.8</x:v>
      </x:c>
      <x:c r="E11" s="4" t="str">
        <x:v>两轮定量：2 × 217.8 µL/样本 + 1500 µL 50 mL储液槽死体积。</x:v>
      </x:c>
    </x:row>
    <x:row r="12" ht="15">
      <x:c r="A12" s="4">
        <x:v>16</x:v>
      </x:c>
      <x:c r="B12" s="4" t="s">
        <x:v>64</x:v>
      </x:c>
      <x:c r="C12" s="4" t="s">
        <x:v>65</x:v>
      </x:c>
      <x:c r="D12" s="5" t="s">
        <x:v>66</x:v>
      </x:c>
      <x:c r="E12" s="4" t="s">
        <x:v>67</x:v>
      </x:c>
    </x:row>
    <x:row r="13" ht="15">
      <x:c r="A13" s="4">
        <x:v>16</x:v>
      </x:c>
      <x:c r="B13" s="4" t="s">
        <x:v>68</x:v>
      </x:c>
      <x:c r="C13" s="4" t="s">
        <x:v>69</x:v>
      </x:c>
      <x:c r="D13" s="5">
        <x:v>79</x:v>
      </x:c>
      <x:c r="E13" s="4" t="s">
        <x:v>70</x:v>
      </x:c>
    </x:row>
    <x:row r="14" ht="15">
      <x:c r="A14" s="4">
        <x:v>16</x:v>
      </x:c>
      <x:c r="B14" s="4" t="s">
        <x:v>71</x:v>
      </x:c>
      <x:c r="C14" s="4" t="s">
        <x:v>69</x:v>
      </x:c>
      <x:c r="D14" s="5">
        <x:v>265</x:v>
      </x:c>
      <x:c r="E14" s="4" t="s">
        <x:v>72</x:v>
      </x:c>
    </x:row>
    <x:row r="15" ht="15">
      <x:c r="A15" s="4">
        <x:v>16</x:v>
      </x:c>
      <x:c r="B15" s="4" t="s">
        <x:v>73</x:v>
      </x:c>
      <x:c r="C15" s="4" t="s">
        <x:v>69</x:v>
      </x:c>
      <x:c r="D15" s="5">
        <x:v>510</x:v>
      </x:c>
      <x:c r="E15" s="4" t="s">
        <x:v>74</x:v>
      </x:c>
    </x:row>
    <x:row r="16" ht="15">
      <x:c r="A16" s="4">
        <x:v>16</x:v>
      </x:c>
      <x:c r="B16" s="4" t="s">
        <x:v>75</x:v>
      </x:c>
      <x:c r="C16" s="4" t="s">
        <x:v>76</x:v>
      </x:c>
      <x:c r="D16" s="5">
        <x:v>123.67</x:v>
      </x:c>
      <x:c r="E16" s="4" t="s">
        <x:v>77</x:v>
      </x:c>
    </x:row>
    <x:row r="17" ht="15">
      <x:c r="A17" s="4">
        <x:v>16</x:v>
      </x:c>
      <x:c r="B17" s="4" t="s">
        <x:v>75</x:v>
      </x:c>
      <x:c r="C17" s="4" t="s">
        <x:v>78</x:v>
      </x:c>
      <x:c r="D17" s="5">
        <x:v>1075.2</x:v>
      </x:c>
      <x:c r="E17" s="4" t="s">
        <x:v>79</x:v>
      </x:c>
    </x:row>
    <x:row r="18" ht="15">
      <x:c r="A18" s="4">
        <x:v>16</x:v>
      </x:c>
      <x:c r="B18" s="4" t="s">
        <x:v>75</x:v>
      </x:c>
      <x:c r="C18" s="4" t="s">
        <x:v>80</x:v>
      </x:c>
      <x:c r="D18" s="5">
        <x:v>153</x:v>
      </x:c>
      <x:c r="E18" s="4" t="s">
        <x:v>81</x:v>
      </x:c>
    </x:row>
    <x:row r="19" ht="15">
      <x:c r="A19" s="4">
        <x:v>16</x:v>
      </x:c>
      <x:c r="B19" s="4" t="s">
        <x:v>82</x:v>
      </x:c>
      <x:c r="C19" s="4" t="s">
        <x:v>83</x:v>
      </x:c>
      <x:c r="D19" s="5" t="n">
        <x:f>A19*217.8*2+1500</x:f>
        <x:v>8469.6</x:v>
      </x:c>
      <x:c r="E19" s="4" t="str">
        <x:v>两轮定量：2 × 217.8 µL/样本 + 1500 µL 50 mL储液槽死体积。</x:v>
      </x:c>
    </x:row>
    <x:row r="20" ht="15">
      <x:c r="A20" s="4">
        <x:v>24</x:v>
      </x:c>
      <x:c r="B20" s="4" t="s">
        <x:v>64</x:v>
      </x:c>
      <x:c r="C20" s="4" t="s">
        <x:v>65</x:v>
      </x:c>
      <x:c r="D20" s="5" t="s">
        <x:v>84</x:v>
      </x:c>
      <x:c r="E20" s="4" t="s">
        <x:v>67</x:v>
      </x:c>
    </x:row>
    <x:row r="21" ht="15">
      <x:c r="A21" s="4">
        <x:v>24</x:v>
      </x:c>
      <x:c r="B21" s="4" t="s">
        <x:v>68</x:v>
      </x:c>
      <x:c r="C21" s="4" t="s">
        <x:v>69</x:v>
      </x:c>
      <x:c r="D21" s="5">
        <x:v>271</x:v>
      </x:c>
      <x:c r="E21" s="4" t="s">
        <x:v>70</x:v>
      </x:c>
    </x:row>
    <x:row r="22" ht="15">
      <x:c r="A22" s="4">
        <x:v>24</x:v>
      </x:c>
      <x:c r="B22" s="4" t="s">
        <x:v>71</x:v>
      </x:c>
      <x:c r="C22" s="4" t="s">
        <x:v>69</x:v>
      </x:c>
      <x:c r="D22" s="5">
        <x:v>545</x:v>
      </x:c>
      <x:c r="E22" s="4" t="s">
        <x:v>72</x:v>
      </x:c>
    </x:row>
    <x:row r="23" ht="15">
      <x:c r="A23" s="4">
        <x:v>24</x:v>
      </x:c>
      <x:c r="B23" s="4" t="s">
        <x:v>73</x:v>
      </x:c>
      <x:c r="C23" s="4" t="s">
        <x:v>69</x:v>
      </x:c>
      <x:c r="D23" s="5">
        <x:v>910</x:v>
      </x:c>
      <x:c r="E23" s="4" t="s">
        <x:v>74</x:v>
      </x:c>
    </x:row>
    <x:row r="24" ht="15">
      <x:c r="A24" s="4">
        <x:v>24</x:v>
      </x:c>
      <x:c r="B24" s="4" t="s">
        <x:v>75</x:v>
      </x:c>
      <x:c r="C24" s="4" t="s">
        <x:v>76</x:v>
      </x:c>
      <x:c r="D24" s="5">
        <x:v>254.33</x:v>
      </x:c>
      <x:c r="E24" s="4" t="s">
        <x:v>77</x:v>
      </x:c>
    </x:row>
    <x:row r="25" ht="15">
      <x:c r="A25" s="4">
        <x:v>24</x:v>
      </x:c>
      <x:c r="B25" s="4" t="s">
        <x:v>75</x:v>
      </x:c>
      <x:c r="C25" s="4" t="s">
        <x:v>78</x:v>
      </x:c>
      <x:c r="D25" s="5">
        <x:v>1612.8</x:v>
      </x:c>
      <x:c r="E25" s="4" t="s">
        <x:v>79</x:v>
      </x:c>
    </x:row>
    <x:row r="26" ht="15">
      <x:c r="A26" s="4">
        <x:v>24</x:v>
      </x:c>
      <x:c r="B26" s="4" t="s">
        <x:v>75</x:v>
      </x:c>
      <x:c r="C26" s="4" t="s">
        <x:v>80</x:v>
      </x:c>
      <x:c r="D26" s="5">
        <x:v>273</x:v>
      </x:c>
      <x:c r="E26" s="4" t="s">
        <x:v>81</x:v>
      </x:c>
    </x:row>
    <x:row r="27" ht="15">
      <x:c r="A27" s="4">
        <x:v>24</x:v>
      </x:c>
      <x:c r="B27" s="4" t="s">
        <x:v>82</x:v>
      </x:c>
      <x:c r="C27" s="4" t="s">
        <x:v>83</x:v>
      </x:c>
      <x:c r="D27" s="5" t="n">
        <x:f>A27*217.8*2+1500</x:f>
        <x:v>11954.400000000001</x:v>
      </x:c>
      <x:c r="E27" s="4" t="str">
        <x:v>两轮定量：2 × 217.8 µL/样本 + 1500 µL 50 mL储液槽死体积。</x:v>
      </x:c>
    </x:row>
    <x:row r="28" ht="15">
      <x:c r="A28" s="4">
        <x:v>32</x:v>
      </x:c>
      <x:c r="B28" s="4" t="s">
        <x:v>64</x:v>
      </x:c>
      <x:c r="C28" s="4" t="s">
        <x:v>65</x:v>
      </x:c>
      <x:c r="D28" s="5" t="s">
        <x:v>84</x:v>
      </x:c>
      <x:c r="E28" s="4" t="s">
        <x:v>67</x:v>
      </x:c>
    </x:row>
    <x:row r="29" ht="15">
      <x:c r="A29" s="4">
        <x:v>32</x:v>
      </x:c>
      <x:c r="B29" s="4" t="s">
        <x:v>68</x:v>
      </x:c>
      <x:c r="C29" s="4" t="s">
        <x:v>69</x:v>
      </x:c>
      <x:c r="D29" s="5">
        <x:v>303</x:v>
      </x:c>
      <x:c r="E29" s="4" t="s">
        <x:v>70</x:v>
      </x:c>
    </x:row>
    <x:row r="30" ht="15">
      <x:c r="A30" s="4">
        <x:v>32</x:v>
      </x:c>
      <x:c r="B30" s="4" t="s">
        <x:v>71</x:v>
      </x:c>
      <x:c r="C30" s="4" t="s">
        <x:v>69</x:v>
      </x:c>
      <x:c r="D30" s="5">
        <x:v>665</x:v>
      </x:c>
      <x:c r="E30" s="4" t="s">
        <x:v>72</x:v>
      </x:c>
    </x:row>
    <x:row r="31" ht="15">
      <x:c r="A31" s="4">
        <x:v>32</x:v>
      </x:c>
      <x:c r="B31" s="4" t="s">
        <x:v>73</x:v>
      </x:c>
      <x:c r="C31" s="4" t="s">
        <x:v>69</x:v>
      </x:c>
      <x:c r="D31" s="5">
        <x:v>1150</x:v>
      </x:c>
      <x:c r="E31" s="4" t="s">
        <x:v>74</x:v>
      </x:c>
    </x:row>
    <x:row r="32" ht="15">
      <x:c r="A32" s="4">
        <x:v>32</x:v>
      </x:c>
      <x:c r="B32" s="4" t="s">
        <x:v>75</x:v>
      </x:c>
      <x:c r="C32" s="4" t="s">
        <x:v>76</x:v>
      </x:c>
      <x:c r="D32" s="5">
        <x:v>310.33</x:v>
      </x:c>
      <x:c r="E32" s="4" t="s">
        <x:v>77</x:v>
      </x:c>
    </x:row>
    <x:row r="33" ht="15">
      <x:c r="A33" s="4">
        <x:v>32</x:v>
      </x:c>
      <x:c r="B33" s="4" t="s">
        <x:v>75</x:v>
      </x:c>
      <x:c r="C33" s="4" t="s">
        <x:v>78</x:v>
      </x:c>
      <x:c r="D33" s="5">
        <x:v>2150.4</x:v>
      </x:c>
      <x:c r="E33" s="4" t="s">
        <x:v>79</x:v>
      </x:c>
    </x:row>
    <x:row r="34" ht="15">
      <x:c r="A34" s="4">
        <x:v>32</x:v>
      </x:c>
      <x:c r="B34" s="4" t="s">
        <x:v>75</x:v>
      </x:c>
      <x:c r="C34" s="4" t="s">
        <x:v>80</x:v>
      </x:c>
      <x:c r="D34" s="5">
        <x:v>345</x:v>
      </x:c>
      <x:c r="E34" s="4" t="s">
        <x:v>81</x:v>
      </x:c>
    </x:row>
    <x:row r="35" ht="15">
      <x:c r="A35" s="4">
        <x:v>32</x:v>
      </x:c>
      <x:c r="B35" s="4" t="s">
        <x:v>82</x:v>
      </x:c>
      <x:c r="C35" s="4" t="s">
        <x:v>83</x:v>
      </x:c>
      <x:c r="D35" s="5" t="n">
        <x:f>A35*217.8*2+1500</x:f>
        <x:v>15439.2</x:v>
      </x:c>
      <x:c r="E35" s="4" t="str">
        <x:v>两轮定量：2 × 217.8 µL/样本 + 1500 µL 50 mL储液槽死体积。</x:v>
      </x:c>
    </x:row>
    <x:row r="36" ht="15">
      <x:c r="A36" s="4">
        <x:v>40</x:v>
      </x:c>
      <x:c r="B36" s="4" t="s">
        <x:v>64</x:v>
      </x:c>
      <x:c r="C36" s="4" t="s">
        <x:v>65</x:v>
      </x:c>
      <x:c r="D36" s="5" t="s">
        <x:v>84</x:v>
      </x:c>
      <x:c r="E36" s="4" t="s">
        <x:v>67</x:v>
      </x:c>
    </x:row>
    <x:row r="37" ht="15">
      <x:c r="A37" s="4">
        <x:v>40</x:v>
      </x:c>
      <x:c r="B37" s="4" t="s">
        <x:v>68</x:v>
      </x:c>
      <x:c r="C37" s="4" t="s">
        <x:v>69</x:v>
      </x:c>
      <x:c r="D37" s="5">
        <x:v>335</x:v>
      </x:c>
      <x:c r="E37" s="4" t="s">
        <x:v>70</x:v>
      </x:c>
    </x:row>
    <x:row r="38" ht="15">
      <x:c r="A38" s="4">
        <x:v>40</x:v>
      </x:c>
      <x:c r="B38" s="4" t="s">
        <x:v>71</x:v>
      </x:c>
      <x:c r="C38" s="4" t="s">
        <x:v>69</x:v>
      </x:c>
      <x:c r="D38" s="5">
        <x:v>785</x:v>
      </x:c>
      <x:c r="E38" s="4" t="s">
        <x:v>72</x:v>
      </x:c>
    </x:row>
    <x:row r="39" ht="15">
      <x:c r="A39" s="4">
        <x:v>40</x:v>
      </x:c>
      <x:c r="B39" s="4" t="s">
        <x:v>73</x:v>
      </x:c>
      <x:c r="C39" s="4" t="s">
        <x:v>69</x:v>
      </x:c>
      <x:c r="D39" s="5">
        <x:v>1390</x:v>
      </x:c>
      <x:c r="E39" s="4" t="s">
        <x:v>74</x:v>
      </x:c>
    </x:row>
    <x:row r="40" ht="15">
      <x:c r="A40" s="4">
        <x:v>40</x:v>
      </x:c>
      <x:c r="B40" s="4" t="s">
        <x:v>75</x:v>
      </x:c>
      <x:c r="C40" s="4" t="s">
        <x:v>76</x:v>
      </x:c>
      <x:c r="D40" s="5">
        <x:v>366.33</x:v>
      </x:c>
      <x:c r="E40" s="4" t="s">
        <x:v>77</x:v>
      </x:c>
    </x:row>
    <x:row r="41" ht="15">
      <x:c r="A41" s="4">
        <x:v>40</x:v>
      </x:c>
      <x:c r="B41" s="4" t="s">
        <x:v>75</x:v>
      </x:c>
      <x:c r="C41" s="4" t="s">
        <x:v>78</x:v>
      </x:c>
      <x:c r="D41" s="5">
        <x:v>2688</x:v>
      </x:c>
      <x:c r="E41" s="4" t="s">
        <x:v>79</x:v>
      </x:c>
    </x:row>
    <x:row r="42" ht="15">
      <x:c r="A42" s="4">
        <x:v>40</x:v>
      </x:c>
      <x:c r="B42" s="4" t="s">
        <x:v>75</x:v>
      </x:c>
      <x:c r="C42" s="4" t="s">
        <x:v>80</x:v>
      </x:c>
      <x:c r="D42" s="5">
        <x:v>417</x:v>
      </x:c>
      <x:c r="E42" s="4" t="s">
        <x:v>81</x:v>
      </x:c>
    </x:row>
    <x:row r="43" ht="15">
      <x:c r="A43" s="4">
        <x:v>40</x:v>
      </x:c>
      <x:c r="B43" s="4" t="s">
        <x:v>82</x:v>
      </x:c>
      <x:c r="C43" s="4" t="s">
        <x:v>83</x:v>
      </x:c>
      <x:c r="D43" s="5" t="n">
        <x:f>A43*217.8*2+1500</x:f>
        <x:v>18924</x:v>
      </x:c>
      <x:c r="E43" s="4" t="str">
        <x:v>两轮定量：2 × 217.8 µL/样本 + 1500 µL 50 mL储液槽死体积。</x:v>
      </x:c>
    </x:row>
    <x:row r="44" ht="15">
      <x:c r="A44" s="4">
        <x:v>48</x:v>
      </x:c>
      <x:c r="B44" s="4" t="s">
        <x:v>64</x:v>
      </x:c>
      <x:c r="C44" s="4" t="s">
        <x:v>65</x:v>
      </x:c>
      <x:c r="D44" s="5" t="s">
        <x:v>84</x:v>
      </x:c>
      <x:c r="E44" s="4" t="s">
        <x:v>67</x:v>
      </x:c>
    </x:row>
    <x:row r="45" ht="15">
      <x:c r="A45" s="4">
        <x:v>48</x:v>
      </x:c>
      <x:c r="B45" s="4" t="s">
        <x:v>68</x:v>
      </x:c>
      <x:c r="C45" s="4" t="s">
        <x:v>69</x:v>
      </x:c>
      <x:c r="D45" s="5">
        <x:v>367</x:v>
      </x:c>
      <x:c r="E45" s="4" t="s">
        <x:v>70</x:v>
      </x:c>
    </x:row>
    <x:row r="46" ht="15">
      <x:c r="A46" s="4">
        <x:v>48</x:v>
      </x:c>
      <x:c r="B46" s="4" t="s">
        <x:v>71</x:v>
      </x:c>
      <x:c r="C46" s="4" t="s">
        <x:v>69</x:v>
      </x:c>
      <x:c r="D46" s="5">
        <x:v>905</x:v>
      </x:c>
      <x:c r="E46" s="4" t="s">
        <x:v>72</x:v>
      </x:c>
    </x:row>
    <x:row r="47" ht="15">
      <x:c r="A47" s="4">
        <x:v>48</x:v>
      </x:c>
      <x:c r="B47" s="4" t="s">
        <x:v>73</x:v>
      </x:c>
      <x:c r="C47" s="4" t="s">
        <x:v>69</x:v>
      </x:c>
      <x:c r="D47" s="5">
        <x:v>1630</x:v>
      </x:c>
      <x:c r="E47" s="4" t="s">
        <x:v>74</x:v>
      </x:c>
    </x:row>
    <x:row r="48" ht="15">
      <x:c r="A48" s="4">
        <x:v>48</x:v>
      </x:c>
      <x:c r="B48" s="4" t="s">
        <x:v>75</x:v>
      </x:c>
      <x:c r="C48" s="4" t="s">
        <x:v>76</x:v>
      </x:c>
      <x:c r="D48" s="5">
        <x:v>422.33</x:v>
      </x:c>
      <x:c r="E48" s="4" t="s">
        <x:v>77</x:v>
      </x:c>
    </x:row>
    <x:row r="49" ht="15">
      <x:c r="A49" s="4">
        <x:v>48</x:v>
      </x:c>
      <x:c r="B49" s="4" t="s">
        <x:v>75</x:v>
      </x:c>
      <x:c r="C49" s="4" t="s">
        <x:v>78</x:v>
      </x:c>
      <x:c r="D49" s="5">
        <x:v>3225.6</x:v>
      </x:c>
      <x:c r="E49" s="4" t="s">
        <x:v>79</x:v>
      </x:c>
    </x:row>
    <x:row r="50" ht="15">
      <x:c r="A50" s="4">
        <x:v>48</x:v>
      </x:c>
      <x:c r="B50" s="4" t="s">
        <x:v>75</x:v>
      </x:c>
      <x:c r="C50" s="4" t="s">
        <x:v>80</x:v>
      </x:c>
      <x:c r="D50" s="5">
        <x:v>489</x:v>
      </x:c>
      <x:c r="E50" s="4" t="s">
        <x:v>81</x:v>
      </x:c>
    </x:row>
    <x:row r="51" ht="15">
      <x:c r="A51" s="4">
        <x:v>48</x:v>
      </x:c>
      <x:c r="B51" s="4" t="s">
        <x:v>82</x:v>
      </x:c>
      <x:c r="C51" s="4" t="s">
        <x:v>83</x:v>
      </x:c>
      <x:c r="D51" s="5" t="n">
        <x:f>A51*217.8*2+1500</x:f>
        <x:v>22408.800000000003</x:v>
      </x:c>
      <x:c r="E51" s="4" t="str">
        <x:v>两轮定量：2 × 217.8 µL/样本 + 1500 µL 50 mL储液槽死体积。</x:v>
      </x:c>
    </x:row>
    <x:row r="52" ht="20" customHeight="1">
      <x:c r="A52" t="n">
        <x:v>8</x:v>
      </x:c>
      <x:c r="B52" t="str">
        <x:v>提取产物均一化</x:v>
      </x:c>
      <x:c r="C52" t="str">
        <x:v>无核酸水最大代码消耗</x:v>
      </x:c>
      <x:c r="D52" s="6" t="n">
        <x:f>A52*27</x:f>
        <x:v>216</x:v>
      </x:c>
      <x:c r="E52" t="str">
        <x:v>目标30 µL；最低取样3 µL，因此单样本最大补水27 µL；实际补水由实测浓度决定。</x:v>
      </x:c>
    </x:row>
    <x:row r="53" ht="40" customHeight="1">
      <x:c r="A53" t="n">
        <x:v>16</x:v>
      </x:c>
      <x:c r="B53" t="str">
        <x:v>提取产物均一化</x:v>
      </x:c>
      <x:c r="C53" t="str">
        <x:v>无核酸水最大代码消耗</x:v>
      </x:c>
      <x:c r="D53" s="6" t="n">
        <x:f>A53*27</x:f>
        <x:v>432</x:v>
      </x:c>
      <x:c r="E53" t="str">
        <x:v>目标30 µL；最低取样3 µL，因此单样本最大补水27 µL；实际补水由实测浓度决定。</x:v>
      </x:c>
    </x:row>
    <x:row r="54" ht="40" customHeight="1">
      <x:c r="A54" t="n">
        <x:v>24</x:v>
      </x:c>
      <x:c r="B54" t="str">
        <x:v>提取产物均一化</x:v>
      </x:c>
      <x:c r="C54" t="str">
        <x:v>无核酸水最大代码消耗</x:v>
      </x:c>
      <x:c r="D54" s="6" t="n">
        <x:f>A54*27</x:f>
        <x:v>648</x:v>
      </x:c>
      <x:c r="E54" t="str">
        <x:v>目标30 µL；最低取样3 µL，因此单样本最大补水27 µL；实际补水由实测浓度决定。</x:v>
      </x:c>
    </x:row>
    <x:row r="55" ht="60" customHeight="1">
      <x:c r="A55" t="n">
        <x:v>32</x:v>
      </x:c>
      <x:c r="B55" t="str">
        <x:v>提取产物均一化</x:v>
      </x:c>
      <x:c r="C55" t="str">
        <x:v>无核酸水最大代码消耗</x:v>
      </x:c>
      <x:c r="D55" s="6" t="n">
        <x:f>A55*27</x:f>
        <x:v>864</x:v>
      </x:c>
      <x:c r="E55" t="str">
        <x:v>目标30 µL；最低取样3 µL，因此单样本最大补水27 µL；实际补水由实测浓度决定。</x:v>
      </x:c>
    </x:row>
    <x:row r="56" ht="60" customHeight="1">
      <x:c r="A56" t="n">
        <x:v>40</x:v>
      </x:c>
      <x:c r="B56" t="str">
        <x:v>提取产物均一化</x:v>
      </x:c>
      <x:c r="C56" t="str">
        <x:v>无核酸水最大代码消耗</x:v>
      </x:c>
      <x:c r="D56" s="6" t="n">
        <x:f>A56*27</x:f>
        <x:v>1080</x:v>
      </x:c>
      <x:c r="E56" t="str">
        <x:v>目标30 µL；最低取样3 µL，因此单样本最大补水27 µL；实际补水由实测浓度决定。</x:v>
      </x:c>
    </x:row>
    <x:row r="57" ht="60" customHeight="1">
      <x:c r="A57" t="n">
        <x:v>48</x:v>
      </x:c>
      <x:c r="B57" t="str">
        <x:v>提取产物均一化</x:v>
      </x:c>
      <x:c r="C57" t="str">
        <x:v>无核酸水最大代码消耗</x:v>
      </x:c>
      <x:c r="D57" s="6" t="n">
        <x:f>A57*27</x:f>
        <x:v>1296</x:v>
      </x:c>
      <x:c r="E57" t="str">
        <x:v>目标30 µL；最低取样3 µL，因此单样本最大补水27 µL；实际补水由实测浓度决定。</x:v>
      </x:c>
    </x:row>
    <x:row r="58" ht="20" customHeight="1"/>
    <x:row r="59" ht="20" customHeight="1"/>
    <x:row r="60" ht="20" customHeight="1"/>
    <x:row r="61" ht="20" customHeight="1"/>
    <x:row r="62" ht="20" customHeight="1"/>
    <x:row r="63" ht="40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22.33203125" customWidth="1"/>
    <x:col min="2" max="2" width="143.5" customWidth="1"/>
  </x:cols>
  <x:sheetData>
    <x:row r="1" ht="32">
      <x:c r="A1" s="1" t="s">
        <x:v>85</x:v>
      </x:c>
      <x:c r="B1" s="2"/>
    </x:row>
    <x:row r="2">
      <x:c r="A2" s="2"/>
      <x:c r="B2" s="2"/>
    </x:row>
    <x:row r="3" ht="15">
      <x:c r="A3" s="4" t="s">
        <x:v>61</x:v>
      </x:c>
      <x:c r="B3" s="4" t="s">
        <x:v>86</x:v>
      </x:c>
    </x:row>
    <x:row r="4" ht="15">
      <x:c r="A4" s="4" t="s">
        <x:v>87</x:v>
      </x:c>
      <x:c r="B4" s="4" t="s">
        <x:v>88</x:v>
      </x:c>
    </x:row>
    <x:row r="5" ht="15">
      <x:c r="A5" s="4" t="s">
        <x:v>64</x:v>
      </x:c>
      <x:c r="B5" s="4" t="s">
        <x:v>89</x:v>
      </x:c>
    </x:row>
    <x:row r="6" ht="15">
      <x:c r="A6" s="4" t="s">
        <x:v>90</x:v>
      </x:c>
      <x:c r="B6" s="4" t="s">
        <x:v>91</x:v>
      </x:c>
    </x:row>
    <x:row r="7" ht="15">
      <x:c r="A7" s="4" t="s">
        <x:v>92</x:v>
      </x:c>
      <x:c r="B7" s="4" t="s">
        <x:v>93</x:v>
      </x:c>
    </x:row>
    <x:row r="8" ht="15">
      <x:c r="A8" s="4" t="s">
        <x:v>94</x:v>
      </x:c>
      <x:c r="B8" s="4" t="s">
        <x:v>95</x:v>
      </x:c>
    </x:row>
    <x:row r="9" ht="15">
      <x:c r="A9" s="4" t="s">
        <x:v>75</x:v>
      </x:c>
      <x:c r="B9" s="4" t="s">
        <x:v>96</x:v>
      </x:c>
    </x:row>
    <x:row r="10" ht="15">
      <x:c r="A10" s="4" t="s">
        <x:v>97</x:v>
      </x:c>
      <x:c r="B10" s="4" t="s">
        <x:v>98</x:v>
      </x:c>
    </x:row>
    <x:row r="11" ht="15">
      <x:c r="A11" s="4" t="s">
        <x:v>82</x:v>
      </x:c>
      <x:c r="B11" s="4" t="s">
        <x:v>99</x:v>
      </x:c>
    </x:row>
    <x:row r="12" ht="15">
      <x:c r="A12" s="4" t="s">
        <x:v>100</x:v>
      </x:c>
      <x:c r="B12" s="4" t="s">
        <x:v>101</x:v>
      </x:c>
    </x:row>
    <x:row r="13">
      <x:c r="A13" t="s">
        <x:v>100</x:v>
      </x:c>
      <x:c r="B13" t="s">
        <x:v>102</x:v>
      </x:c>
    </x:row>
    <x:row r="14">
      <x:c r="A14" t="s">
        <x:v>100</x:v>
      </x:c>
      <x:c r="B14" t="s">
        <x:v>103</x:v>
      </x:c>
    </x:row>
    <x:row r="15">
      <x:c r="A15" t="s">
        <x:v>100</x:v>
      </x:c>
      <x:c r="B15" t="s">
        <x:v>104</x:v>
      </x:c>
    </x:row>
    <x:row r="16">
      <x:c r="A16" t="str">
        <x:v>提取产物均一化</x:v>
      </x:c>
      <x:c r="B16" t="str">
        <x:v>提取回收45 µL；取2.2 µL在POS14 Col7-12定量。目标20 ng/µL、30 µL；原始浓度低于20 ng/µL时不补水，直接转移30 µL。</x:v>
      </x:c>
    </x:row>
    <x:row r="17">
      <x:c r="A17" t="str">
        <x:v>均一化范围</x:v>
      </x:c>
      <x:c r="B17" t="str">
        <x:v>20-200 ng/µL按样本体积600/C、补水体积30-600/C执行；C≤0或C&gt;200 ng/µL时在移液前停止。</x:v>
      </x:c>
    </x:row>
    <x:row r="18">
      <x:c r="A18" t="str">
        <x:v>板位与枪头</x:v>
      </x:c>
      <x:c r="B18" t="str">
        <x:v>POS8 Col1-6为提取原液，Col7-12为均一化产物；POS14 Col7-12为提取定量管，Col1-6保留最终文库定量；POS30为第5盒50 µL枪头。</x:v>
      </x:c>
    </x:row>
    <x:row r="19">
      <x:c r="A19" t="str">
        <x:v>输出表格</x:v>
      </x:c>
      <x:c r="B19" t="str">
        <x:v>D:\data\PTseq_Extraction.xlsx记录提取浓度；D:\data\PTseq_normalization_info.csv记录每个样本的取样和补水体积。</x:v>
      </x:c>
    </x:row>
    <x:row r="20">
      <x:c r="A20" t="str">
        <x:v>更新记录</x:v>
      </x:c>
      <x:c r="B20" t="str">
        <x:v>2026-07-20：新增提取产物定量和20 ng/µL均一化；Qubit工作液按两轮定量计算，并增加均一化无核酸水最坏情况装量。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19" hidden="0" customWidth="1"/>
    <x:col min="5" max="5" width="24" hidden="0" customWidth="1"/>
    <x:col min="6" max="6" width="30" hidden="0" customWidth="1"/>
  </x:cols>
  <x:sheetData>
    <x:row r="1" ht="28" customHeight="1">
      <x:c r="A1" s="23" t="str">
        <x:v>PTseq 提取产物定量与均一化设计</x:v>
      </x:c>
      <x:c r="B1" s="23"/>
      <x:c r="C1" s="23"/>
      <x:c r="D1" s="23"/>
      <x:c r="E1" s="23"/>
      <x:c r="F1" s="23"/>
    </x:row>
    <x:row r="2">
      <x:c r="A2" s="35"/>
      <x:c r="B2" s="35"/>
      <x:c r="C2" s="35"/>
      <x:c r="D2" s="35"/>
      <x:c r="E2" s="35"/>
      <x:c r="F2" s="35"/>
    </x:row>
    <x:row r="3">
      <x:c r="A3" s="36" t="str">
        <x:v>参数</x:v>
      </x:c>
      <x:c r="B3" s="36" t="str">
        <x:v>设定</x:v>
      </x:c>
      <x:c r="C3" s="35"/>
      <x:c r="D3" s="36" t="str">
        <x:v>浓度区间</x:v>
      </x:c>
      <x:c r="E3" s="36" t="str">
        <x:v>样本体积</x:v>
      </x:c>
      <x:c r="F3" s="36" t="str">
        <x:v>补水体积/处理</x:v>
      </x:c>
    </x:row>
    <x:row r="4">
      <x:c r="A4" s="37" t="str">
        <x:v>提取回收体积</x:v>
      </x:c>
      <x:c r="B4" s="38" t="str">
        <x:v>45 µL</x:v>
      </x:c>
      <x:c r="C4" s="35"/>
      <x:c r="D4" s="37" t="str">
        <x:v>C ≤ 0</x:v>
      </x:c>
      <x:c r="E4" s="39" t="str">
        <x:v>-</x:v>
      </x:c>
      <x:c r="F4" s="38" t="str">
        <x:v>移液前停止</x:v>
      </x:c>
    </x:row>
    <x:row r="5">
      <x:c r="A5" s="40" t="str">
        <x:v>提取定量取样</x:v>
      </x:c>
      <x:c r="B5" s="41" t="str">
        <x:v>2.2 µL</x:v>
      </x:c>
      <x:c r="C5" s="35"/>
      <x:c r="D5" s="40" t="str">
        <x:v>0 &lt; C &lt; 20</x:v>
      </x:c>
      <x:c r="E5" s="42" t="str">
        <x:v>30 µL</x:v>
      </x:c>
      <x:c r="F5" s="41" t="str">
        <x:v>0 µL；低于目标但保留</x:v>
      </x:c>
    </x:row>
    <x:row r="6">
      <x:c r="A6" s="40" t="str">
        <x:v>Qubit工作液</x:v>
      </x:c>
      <x:c r="B6" s="41" t="str">
        <x:v>217.8 µL/样本/轮，共2轮</x:v>
      </x:c>
      <x:c r="C6" s="35"/>
      <x:c r="D6" s="40" t="str">
        <x:v>20 ≤ C ≤ 200</x:v>
      </x:c>
      <x:c r="E6" s="42" t="str">
        <x:v>600/C µL</x:v>
      </x:c>
      <x:c r="F6" s="41" t="str">
        <x:v>30 - 600/C µL</x:v>
      </x:c>
    </x:row>
    <x:row r="7">
      <x:c r="A7" s="40" t="str">
        <x:v>目标浓度</x:v>
      </x:c>
      <x:c r="B7" s="41" t="str">
        <x:v>20 ng/µL</x:v>
      </x:c>
      <x:c r="C7" s="35"/>
      <x:c r="D7" s="43" t="str">
        <x:v>C &gt; 200</x:v>
      </x:c>
      <x:c r="E7" s="44" t="str">
        <x:v>&lt;3 µL</x:v>
      </x:c>
      <x:c r="F7" s="45" t="str">
        <x:v>移液前停止，避免贴近小体积下限</x:v>
      </x:c>
    </x:row>
    <x:row r="8">
      <x:c r="A8" s="40" t="str">
        <x:v>目标体积</x:v>
      </x:c>
      <x:c r="B8" s="41" t="str">
        <x:v>30 µL</x:v>
      </x:c>
      <x:c r="C8" s="35"/>
      <x:c r="D8" s="35"/>
      <x:c r="E8" s="35"/>
      <x:c r="F8" s="35"/>
    </x:row>
    <x:row r="9">
      <x:c r="A9" s="40" t="str">
        <x:v>建库投入</x:v>
      </x:c>
      <x:c r="B9" s="41" t="str">
        <x:v>14 µL</x:v>
      </x:c>
      <x:c r="C9" s="35"/>
      <x:c r="D9" s="35"/>
      <x:c r="E9" s="35"/>
      <x:c r="F9" s="35"/>
    </x:row>
    <x:row r="10">
      <x:c r="A10" s="43" t="str">
        <x:v>直接稀释允许范围</x:v>
      </x:c>
      <x:c r="B10" s="45" t="str">
        <x:v>20-200 ng/µL</x:v>
      </x:c>
      <x:c r="C10" s="35"/>
      <x:c r="D10" s="35"/>
      <x:c r="E10" s="35"/>
      <x:c r="F10" s="35"/>
    </x:row>
    <x:row r="11">
      <x:c r="A11" s="35"/>
      <x:c r="B11" s="35"/>
      <x:c r="C11" s="35"/>
      <x:c r="D11" s="35"/>
      <x:c r="E11" s="35"/>
      <x:c r="F11" s="35"/>
    </x:row>
    <x:row r="12">
      <x:c r="A12" s="36" t="str">
        <x:v>板位</x:v>
      </x:c>
      <x:c r="B12" s="36" t="str">
        <x:v>用途</x:v>
      </x:c>
      <x:c r="C12" s="36" t="str">
        <x:v>范围</x:v>
      </x:c>
      <x:c r="D12" s="35"/>
      <x:c r="E12" s="36" t="str">
        <x:v>输出文件</x:v>
      </x:c>
      <x:c r="F12" s="36" t="str">
        <x:v>用途</x:v>
      </x:c>
    </x:row>
    <x:row r="13">
      <x:c r="A13" s="37" t="str">
        <x:v>POS8</x:v>
      </x:c>
      <x:c r="B13" s="39" t="str">
        <x:v>提取产物原液</x:v>
      </x:c>
      <x:c r="C13" s="38" t="str">
        <x:v>Col1-6</x:v>
      </x:c>
      <x:c r="D13" s="35"/>
      <x:c r="E13" s="37" t="str">
        <x:v>PTseq_Extraction.xlsx</x:v>
      </x:c>
      <x:c r="F13" s="38" t="str">
        <x:v>提取浓度</x:v>
      </x:c>
    </x:row>
    <x:row r="14">
      <x:c r="A14" s="40" t="str">
        <x:v>POS8</x:v>
      </x:c>
      <x:c r="B14" s="42" t="str">
        <x:v>均一化产物</x:v>
      </x:c>
      <x:c r="C14" s="41" t="str">
        <x:v>Col7-12</x:v>
      </x:c>
      <x:c r="D14" s="35"/>
      <x:c r="E14" s="40" t="str">
        <x:v>PTseq_normalization_info.csv</x:v>
      </x:c>
      <x:c r="F14" s="41" t="str">
        <x:v>取样/补水/状态</x:v>
      </x:c>
    </x:row>
    <x:row r="15">
      <x:c r="A15" s="40" t="str">
        <x:v>POS14</x:v>
      </x:c>
      <x:c r="B15" s="42" t="str">
        <x:v>提取产物定量管</x:v>
      </x:c>
      <x:c r="C15" s="41" t="str">
        <x:v>Col7-12</x:v>
      </x:c>
      <x:c r="D15" s="35"/>
      <x:c r="E15" s="43" t="str">
        <x:v>PTseq_Library.xlsx</x:v>
      </x:c>
      <x:c r="F15" s="45" t="str">
        <x:v>最终文库浓度</x:v>
      </x:c>
    </x:row>
    <x:row r="16">
      <x:c r="A16" s="40" t="str">
        <x:v>POS14</x:v>
      </x:c>
      <x:c r="B16" s="42" t="str">
        <x:v>最终文库定量管</x:v>
      </x:c>
      <x:c r="C16" s="41" t="str">
        <x:v>Col1-6</x:v>
      </x:c>
      <x:c r="D16" s="35"/>
      <x:c r="E16" s="35"/>
      <x:c r="F16" s="35"/>
    </x:row>
    <x:row r="17">
      <x:c r="A17" s="40" t="str">
        <x:v>POS24 A2</x:v>
      </x:c>
      <x:c r="B17" s="42" t="str">
        <x:v>均一化无核酸水</x:v>
      </x:c>
      <x:c r="C17" s="41" t="str">
        <x:v>5 mL管</x:v>
      </x:c>
      <x:c r="D17" s="35"/>
      <x:c r="E17" s="35"/>
      <x:c r="F17" s="35"/>
    </x:row>
    <x:row r="18">
      <x:c r="A18" s="43" t="str">
        <x:v>POS30</x:v>
      </x:c>
      <x:c r="B18" s="44" t="str">
        <x:v>备用50 µL枪头</x:v>
      </x:c>
      <x:c r="C18" s="45" t="str">
        <x:v>第5盒</x:v>
      </x:c>
      <x:c r="D18" s="35"/>
      <x:c r="E18" s="35"/>
      <x:c r="F18" s="35"/>
    </x:row>
  </x:sheetData>
  <x:mergeCells>
    <x:mergeCell ref="A1:F1"/>
  </x:mergeCells>
  <x:pageMargins left="0.7" right="0.7" top="0.75" bottom="0.75" header="0.3" footer="0.3"/>
</x:worksheet>
</file>
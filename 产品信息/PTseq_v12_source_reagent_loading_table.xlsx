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7a6d539d3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剂分装" sheetId="1" r:id="Rf631465f86414744"/>
    <x:sheet xmlns:r="http://schemas.openxmlformats.org/officeDocument/2006/relationships" name="代码消耗" sheetId="2" r:id="Rea9c7aed0f0340ef"/>
    <x:sheet xmlns:r="http://schemas.openxmlformats.org/officeDocument/2006/relationships" name="计算明细" sheetId="3" r:id="R26992661c69b4605"/>
    <x:sheet xmlns:r="http://schemas.openxmlformats.org/officeDocument/2006/relationships" name="说明" sheetId="4" r:id="Rd412518127e34462"/>
    <x:sheet xmlns:r="http://schemas.openxmlformats.org/officeDocument/2006/relationships" name="均一化设计" sheetId="5" r:id="Rcfe25a8a015340b6"/>
    <x:sheet xmlns:r="http://schemas.openxmlformats.org/officeDocument/2006/relationships" name="E25_DNB试剂" sheetId="6" r:id="Re3361dc0349c4837"/>
    <x:sheet xmlns:r="http://schemas.openxmlformats.org/officeDocument/2006/relationships" name="G99_DNB试剂" sheetId="7" r:id="Rdab3269581ac4858"/>
    <x:sheet xmlns:r="http://schemas.openxmlformats.org/officeDocument/2006/relationships" name="200_2000_DNB试剂" sheetId="8" r:id="Rda81c7c79b33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##"/>
    <x:numFmt numFmtId="165" formatCode="0&quot; DNB&quot;"/>
    <x:numFmt numFmtId="166" formatCode="0.0"/>
  </x:numFmts>
  <x:fonts count="10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9"/>
      <x:name val="FangSong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Aptos"/>
    </x:font>
    <x:font>
      <x:b/>
      <x:sz val="15"/>
      <x:color rgb="FFFFFFFF"/>
      <x:name val="Aptos"/>
    </x:font>
    <x:font>
      <x:i/>
      <x:sz val="11"/>
      <x:color rgb="FF7F6000"/>
      <x:name val="Aptos"/>
    </x:font>
    <x:font>
      <x:b/>
      <x:sz val="11"/>
      <x:color rgb="FF1F293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E8F1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7">
    <x:border/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2">
    <x:xf numFmtId="0" fontId="2" fillId="0" borderId="1"/>
    <x:xf numFmtId="0" fontId="2" fillId="0" borderId="1"/>
  </x:cellStyleXfs>
  <x:cellXfs count="47">
    <x:xf numFmtId="0" fontId="0" fillId="0" borderId="0" xfId="0"/>
    <x:xf numFmtId="0" fontId="1" fillId="0" borderId="0" xfId="1" applyAlignment="1">
      <x:alignment vertical="center" wrapText="1"/>
    </x:xf>
    <x:xf numFmtId="0" fontId="0" fillId="0" borderId="0" xfId="1" applyAlignment="1">
      <x:alignment vertical="center" wrapText="1"/>
    </x:xf>
    <x:xf numFmtId="0" fontId="1" fillId="2" borderId="0" xfId="1" applyAlignment="1">
      <x:alignment vertical="center" wrapText="1"/>
    </x:xf>
    <x:xf numFmtId="0" fontId="0" fillId="0" borderId="1" xfId="1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0" fontId="0" fillId="0" borderId="0" xfId="0" applyAlignment="1">
      <x:alignment vertical="center" wrapText="1"/>
    </x:xf>
    <x:xf numFmtId="0" fontId="5" fillId="4" borderId="2" xfId="0" applyAlignment="1">
      <x:alignment vertical="center" wrapText="1"/>
    </x:xf>
    <x:xf numFmtId="0" fontId="0" fillId="0" borderId="3" xfId="0" applyAlignment="1">
      <x:alignment vertical="center" wrapText="1"/>
    </x:xf>
    <x:xf numFmtId="0" fontId="0" fillId="0" borderId="4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5" xfId="0" applyAlignment="1">
      <x:alignment vertical="center" wrapText="1"/>
    </x:xf>
    <x:xf numFmtId="0" fontId="0" fillId="0" borderId="6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7" xfId="0" applyAlignment="1">
      <x:alignment vertical="center" wrapText="1"/>
    </x:xf>
    <x:xf numFmtId="0" fontId="0" fillId="0" borderId="11" xfId="0" applyAlignment="1">
      <x:alignment vertical="center" wrapText="1"/>
    </x:xf>
    <x:xf numFmtId="0" fontId="0" fillId="0" borderId="8" xfId="0" applyAlignment="1">
      <x:alignment vertical="center" wrapText="1"/>
    </x:xf>
    <x:xf numFmtId="0" fontId="9" fillId="7" borderId="12" xfId="0" applyAlignment="1">
      <x:alignment horizontal="center" vertical="center" wrapText="1"/>
    </x:xf>
    <x:xf numFmtId="165" fontId="9" fillId="7" borderId="12" xfId="0" applyAlignment="1">
      <x:alignment horizontal="center" vertical="center" wrapText="1"/>
    </x:xf>
    <x:xf numFmtId="0" fontId="6" fillId="0" borderId="12" xfId="0" applyAlignment="1">
      <x:alignment horizontal="left" vertical="center" wrapText="1"/>
    </x:xf>
    <x:xf numFmtId="166" fontId="6" fillId="0" borderId="12" xfId="0" applyAlignment="1">
      <x:alignment horizontal="center" vertical="center" wrapText="1"/>
    </x:xf>
    <x:xf numFmtId="0" fontId="9" fillId="8" borderId="12" xfId="0" applyAlignment="1">
      <x:alignment horizontal="center" vertical="center" wrapText="1"/>
    </x:xf>
    <x:xf numFmtId="166" fontId="9" fillId="8" borderId="12" xfId="0" applyAlignment="1">
      <x:alignment horizontal="center" vertical="center" wrapText="1"/>
    </x:xf>
    <x:xf numFmtId="0" fontId="4" fillId="3" borderId="0" xfId="0" applyAlignment="1">
      <x:alignment horizontal="center" vertical="center" wrapText="1"/>
    </x:xf>
    <x:xf numFmtId="0" fontId="7" fillId="5" borderId="12" xfId="0" applyAlignment="1">
      <x:alignment horizontal="left" vertical="center" wrapText="1"/>
    </x:xf>
    <x:xf numFmtId="0" fontId="8" fillId="6" borderId="12" xfId="0" applyAlignment="1">
      <x:alignment horizontal="left"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0" fontId="4" fillId="3" borderId="1" xfId="0" applyAlignment="1">
      <x:alignment horizontal="center" vertical="center" wrapText="1"/>
    </x:xf>
    <x:xf numFmtId="0" fontId="0" fillId="0" borderId="1" xfId="0"/>
    <x:xf numFmtId="0" fontId="0" fillId="0" borderId="15" xfId="0"/>
    <x:xf numFmtId="0" fontId="0" fillId="0" borderId="16" xfId="0"/>
    <x:xf numFmtId="165" fontId="9" fillId="7" borderId="12" xfId="0" applyAlignment="1">
      <x:alignment horizontal="center" vertical="center" wrapText="1"/>
    </x:xf>
    <x:xf numFmtId="166" fontId="6" fillId="0" borderId="12" xfId="0" applyAlignment="1">
      <x:alignment horizontal="center" vertical="center" wrapText="1"/>
    </x:xf>
    <x:xf numFmtId="166" fontId="9" fillId="8" borderId="12" xfId="0" applyAlignment="1">
      <x:alignment horizontal="center" vertical="center" wrapText="1"/>
    </x:xf>
    <x:xf numFmtId="0" fontId="8" fillId="6" borderId="12" xfId="0" applyAlignment="1">
      <x:alignment horizontal="left" vertical="center" wrapText="1"/>
    </x:xf>
    <x:xf numFmtId="0" fontId="0" fillId="0" borderId="15" xfId="0" applyAlignment="1">
      <x:alignment wrapText="1"/>
    </x:xf>
    <x:xf numFmtId="0" fontId="9" fillId="7" borderId="12" xfId="0" applyAlignment="1">
      <x:alignment horizontal="center" vertical="center" wrapText="1"/>
    </x:xf>
    <x:xf numFmtId="165" fontId="9" fillId="7" borderId="12" xfId="0" applyAlignment="1">
      <x:alignment horizontal="center" vertical="center" wrapText="1"/>
    </x:xf>
    <x:xf numFmtId="0" fontId="6" fillId="0" borderId="12" xfId="0" applyAlignment="1">
      <x:alignment horizontal="left" vertical="center" wrapText="1"/>
    </x:xf>
    <x:xf numFmtId="166" fontId="6" fillId="0" borderId="12" xfId="0" applyAlignment="1">
      <x:alignment horizontal="center" vertical="center" wrapText="1"/>
    </x:xf>
    <x:xf numFmtId="0" fontId="9" fillId="8" borderId="12" xfId="0" applyAlignment="1">
      <x:alignment horizontal="center" vertical="center" wrapText="1"/>
    </x:xf>
    <x:xf numFmtId="166" fontId="9" fillId="8" borderId="12" xfId="0" applyAlignment="1">
      <x:alignment horizontal="center" vertical="center" wrapText="1"/>
    </x:xf>
    <x:xf numFmtId="0" fontId="0" fillId="0" borderId="16" xfId="0" applyAlignment="1">
      <x:alignment wrapText="1"/>
    </x:xf>
    <x:xf numFmtId="0" fontId="0" fillId="0" borderId="0" xfId="0" applyAlignment="1">
      <x:alignment wrapText="1"/>
    </x:xf>
    <x:xf numFmtId="0" fontId="0" fillId="0" borderId="1" xfId="1" applyAlignment="1">
      <x:alignment vertical="center"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0948013504909" /><Relationship Type="http://schemas.openxmlformats.org/officeDocument/2006/relationships/theme" Target="/xl/theme/theme1.xml" Id="Re32f0ce97be74f5d" /><Relationship Type="http://schemas.openxmlformats.org/officeDocument/2006/relationships/sharedStrings" Target="/xl/sharedStrings.xml" Id="R0aaccebd952e433f" /><Relationship Type="http://schemas.openxmlformats.org/officeDocument/2006/relationships/worksheet" Target="/xl/worksheets/sheet1.xml" Id="Rf631465f86414744" /><Relationship Type="http://schemas.openxmlformats.org/officeDocument/2006/relationships/worksheet" Target="/xl/worksheets/sheet2.xml" Id="Rea9c7aed0f0340ef" /><Relationship Type="http://schemas.openxmlformats.org/officeDocument/2006/relationships/worksheet" Target="/xl/worksheets/sheet3.xml" Id="R26992661c69b4605" /><Relationship Type="http://schemas.openxmlformats.org/officeDocument/2006/relationships/worksheet" Target="/xl/worksheets/sheet4.xml" Id="Rd412518127e34462" /><Relationship Type="http://schemas.openxmlformats.org/officeDocument/2006/relationships/worksheet" Target="/xl/worksheets/sheet5.xml" Id="Rcfe25a8a015340b6" /><Relationship Type="http://schemas.openxmlformats.org/officeDocument/2006/relationships/worksheet" Target="/xl/worksheets/sheet6.xml" Id="Re3361dc0349c4837" /><Relationship Type="http://schemas.openxmlformats.org/officeDocument/2006/relationships/worksheet" Target="/xl/worksheets/sheet7.xml" Id="Rdab3269581ac4858" /><Relationship Type="http://schemas.openxmlformats.org/officeDocument/2006/relationships/worksheet" Target="/xl/worksheets/sheet8.xml" Id="Rda81c7c79b33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3.5" customWidth="1"/>
    <x:col min="2" max="2" width="13.83203125" customWidth="1"/>
    <x:col min="3" max="3" width="12.83203125" hidden="1" customWidth="1"/>
    <x:col min="4" max="4" width="28.1640625" hidden="1" customWidth="1"/>
    <x:col min="5" max="5" width="46.33203125" hidden="1" customWidth="1"/>
    <x:col min="6" max="11" width="7" customWidth="1"/>
  </x:cols>
  <x:sheetData>
    <x:row r="1" ht="15" customHeight="1">
      <x:c r="A1" s="1" t="inlineStr">
        <x:is>
          <x:t xml:space="preserve">PTseq 试剂分装量（µL）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ht="15" customHeight="1">
      <x:c r="A3" s="3" t="inlineStr">
        <x:is>
          <x:t xml:space="preserve">试剂</x:t>
        </x:is>
      </x:c>
      <x:c r="B3" s="3" t="inlineStr">
        <x:is>
          <x:t xml:space="preserve">台面位置</x:t>
        </x:is>
      </x:c>
      <x:c r="C3" s="3" t="inlineStr">
        <x:is>
          <x:t xml:space="preserve">耗材类别</x:t>
        </x:is>
      </x:c>
      <x:c r="D3" s="3" t="str">
        <x:v>最低来源冗余</x:v>
      </x:c>
      <x:c r="E3" s="3" t="inlineStr">
        <x:is>
          <x:t xml:space="preserve">计算规则</x:t>
        </x:is>
      </x:c>
      <x:c r="F3" s="3" t="n">
        <x:v>8</x:v>
      </x:c>
      <x:c r="G3" s="3" t="n">
        <x:v>16</x:v>
      </x:c>
      <x:c r="H3" s="3" t="n">
        <x:v>24</x:v>
      </x:c>
      <x:c r="I3" s="3" t="n">
        <x:v>32</x:v>
      </x:c>
      <x:c r="J3" s="3" t="n">
        <x:v>40</x:v>
      </x:c>
      <x:c r="K3" s="3" t="n">
        <x:v>48</x:v>
      </x:c>
    </x:row>
    <x:row r="4" ht="45" customHeight="1">
      <x:c r="A4" s="46" t="str">
        <x:v>T1 cDNA合成引物</x:v>
      </x:c>
      <x:c r="B4" s="4" t="inlineStr">
        <x:is>
          <x:t xml:space="preserve">POS17 C1R1</x:t>
        </x:is>
      </x:c>
      <x:c r="C4" s="46" t="inlineStr">
        <x:is>
          <x:t xml:space="preserve">0.5 mL冻存管</x:t>
        </x:is>
      </x:c>
      <x:c r="D4" s="46" t="str">
        <x:v>+10 µL</x:v>
      </x:c>
      <x:c r="E4" s="46" t="str">
        <x:v>2 × N；加10 µL来源冗余后向上取整到10 µL</x:v>
      </x:c>
      <x:c r="F4" s="7" t="n">
        <x:v>30</x:v>
      </x:c>
      <x:c r="G4" s="7" t="n">
        <x:v>50</x:v>
      </x:c>
      <x:c r="H4" s="7" t="n">
        <x:v>60</x:v>
      </x:c>
      <x:c r="I4" s="7" t="n">
        <x:v>80</x:v>
      </x:c>
      <x:c r="J4" s="7" t="n">
        <x:v>90</x:v>
      </x:c>
      <x:c r="K4" s="7" t="n">
        <x:v>110</x:v>
      </x:c>
    </x:row>
    <x:row r="5" ht="45" customHeight="1">
      <x:c r="A5" s="46" t="str">
        <x:v>T2 一链合成缓冲液</x:v>
      </x:c>
      <x:c r="B5" s="4" t="inlineStr">
        <x:is>
          <x:t xml:space="preserve">POS17 C2R1</x:t>
        </x:is>
      </x:c>
      <x:c r="C5" s="46" t="inlineStr">
        <x:is>
          <x:t xml:space="preserve">0.5 mL冻存管</x:t>
        </x:is>
      </x:c>
      <x:c r="D5" s="46" t="inlineStr">
        <x:is>
          <x:t xml:space="preserve">+6 µL</x:t>
        </x:is>
      </x:c>
      <x:c r="E5" s="46" t="str">
        <x:v>第9列反应液总量 / 2 + 6 µL，向上取10 µL；分装量按SOP表9。</x:v>
      </x:c>
      <x:c r="F5" s="7" t="n">
        <x:v>30</x:v>
      </x:c>
      <x:c r="G5" s="7" t="n">
        <x:v>50</x:v>
      </x:c>
      <x:c r="H5" s="7" t="n">
        <x:v>180</x:v>
      </x:c>
      <x:c r="I5" s="7" t="n">
        <x:v>200</x:v>
      </x:c>
      <x:c r="J5" s="7" t="n">
        <x:v>220</x:v>
      </x:c>
      <x:c r="K5" s="7" t="n">
        <x:v>240</x:v>
      </x:c>
    </x:row>
    <x:row r="6" ht="45" customHeight="1">
      <x:c r="A6" s="46" t="str">
        <x:v>T3 一链合成酶</x:v>
      </x:c>
      <x:c r="B6" s="4" t="inlineStr">
        <x:is>
          <x:t xml:space="preserve">POS17 C3R1</x:t>
        </x:is>
      </x:c>
      <x:c r="C6" s="46" t="inlineStr">
        <x:is>
          <x:t xml:space="preserve">0.5 mL冻存管</x:t>
        </x:is>
      </x:c>
      <x:c r="D6" s="46" t="inlineStr">
        <x:is>
          <x:t xml:space="preserve">+6 µL</x:t>
        </x:is>
      </x:c>
      <x:c r="E6" s="46" t="str">
        <x:v>第9列反应液总量 / 2 + 6 µL，向上取10 µL；分装量按SOP表9。</x:v>
      </x:c>
      <x:c r="F6" s="7" t="n">
        <x:v>30</x:v>
      </x:c>
      <x:c r="G6" s="7" t="n">
        <x:v>50</x:v>
      </x:c>
      <x:c r="H6" s="7" t="n">
        <x:v>180</x:v>
      </x:c>
      <x:c r="I6" s="7" t="n">
        <x:v>200</x:v>
      </x:c>
      <x:c r="J6" s="7" t="n">
        <x:v>220</x:v>
      </x:c>
      <x:c r="K6" s="7" t="n">
        <x:v>240</x:v>
      </x:c>
    </x:row>
    <x:row r="7" ht="45" customHeight="1">
      <x:c r="A7" s="46" t="str">
        <x:v>T4 靶向扩增缓冲液</x:v>
      </x:c>
      <x:c r="B7" s="4" t="inlineStr">
        <x:is>
          <x:t xml:space="preserve">POS17 C1R2</x:t>
        </x:is>
      </x:c>
      <x:c r="C7" s="46" t="str">
        <x:v>2.0 mL冻存管</x:v>
      </x:c>
      <x:c r="D7" s="46" t="inlineStr">
        <x:is>
          <x:t xml:space="preserve">+10 µL</x:t>
        </x:is>
      </x:c>
      <x:c r="E7" s="46" t="str">
        <x:v>第10列反应液总量 × 5/15 + 10 µL，向上取10 µL；分装量按SOP表9。</x:v>
      </x:c>
      <x:c r="F7" s="7" t="n">
        <x:v>60</x:v>
      </x:c>
      <x:c r="G7" s="7" t="n">
        <x:v>100</x:v>
      </x:c>
      <x:c r="H7" s="7" t="n">
        <x:v>240</x:v>
      </x:c>
      <x:c r="I7" s="7" t="n">
        <x:v>290</x:v>
      </x:c>
      <x:c r="J7" s="7" t="n">
        <x:v>340</x:v>
      </x:c>
      <x:c r="K7" s="7" t="n">
        <x:v>390</x:v>
      </x:c>
    </x:row>
    <x:row r="8" ht="45" customHeight="1">
      <x:c r="A8" s="46" t="str">
        <x:v>T5 靶向扩增酶</x:v>
      </x:c>
      <x:c r="B8" s="4" t="inlineStr">
        <x:is>
          <x:t xml:space="preserve">POS17 C2R2</x:t>
        </x:is>
      </x:c>
      <x:c r="C8" s="46" t="inlineStr">
        <x:is>
          <x:t xml:space="preserve">0.5 mL冻存管</x:t>
        </x:is>
      </x:c>
      <x:c r="D8" s="46" t="inlineStr">
        <x:is>
          <x:t xml:space="preserve">+10 µL</x:t>
        </x:is>
      </x:c>
      <x:c r="E8" s="46" t="str">
        <x:v>第10列反应液总量 × 3/15 + 10 µL，向上取10 µL；分装量按SOP表9。</x:v>
      </x:c>
      <x:c r="F8" s="7" t="n">
        <x:v>40</x:v>
      </x:c>
      <x:c r="G8" s="7" t="n">
        <x:v>70</x:v>
      </x:c>
      <x:c r="H8" s="7" t="n">
        <x:v>150</x:v>
      </x:c>
      <x:c r="I8" s="7" t="n">
        <x:v>180</x:v>
      </x:c>
      <x:c r="J8" s="7" t="n">
        <x:v>210</x:v>
      </x:c>
      <x:c r="K8" s="7" t="n">
        <x:v>240</x:v>
      </x:c>
    </x:row>
    <x:row r="9" ht="45" customHeight="1">
      <x:c r="A9" s="46" t="inlineStr">
        <x:is>
          <x:t xml:space="preserve">T8 UDG酶</x:t>
        </x:is>
      </x:c>
      <x:c r="B9" s="4" t="inlineStr">
        <x:is>
          <x:t xml:space="preserve">POS17 C2R3</x:t>
        </x:is>
      </x:c>
      <x:c r="C9" s="46" t="str">
        <x:v>2.0 mL冻存管</x:v>
      </x:c>
      <x:c r="D9" s="46" t="inlineStr">
        <x:is>
          <x:t xml:space="preserve">无源管冗余；手工预置到C2R3</x:t>
        </x:is>
      </x:c>
      <x:c r="E9" s="46" t="str">
        <x:v>第11列反应液总量 × 1/30，向上取1 µL；手工预置C2R3，分装量按SOP表9。</x:v>
      </x:c>
      <x:c r="F9" s="7" t="n">
        <x:v>9</x:v>
      </x:c>
      <x:c r="G9" s="7" t="n">
        <x:v>17</x:v>
      </x:c>
      <x:c r="H9" s="7" t="n">
        <x:v>38</x:v>
      </x:c>
      <x:c r="I9" s="7" t="n">
        <x:v>48</x:v>
      </x:c>
      <x:c r="J9" s="7" t="n">
        <x:v>58</x:v>
      </x:c>
      <x:c r="K9" s="7" t="n">
        <x:v>68</x:v>
      </x:c>
    </x:row>
    <x:row r="10" ht="45" customHeight="1">
      <x:c r="A10" s="46" t="str">
        <x:v>T7 PCR Mix</x:v>
      </x:c>
      <x:c r="B10" s="4" t="inlineStr">
        <x:is>
          <x:t xml:space="preserve">POS17 C1R3</x:t>
        </x:is>
      </x:c>
      <x:c r="C10" s="46" t="str">
        <x:v>2.0 mL冻存管</x:v>
      </x:c>
      <x:c r="D10" s="46" t="str">
        <x:v>+15 µL，向上取10 µL</x:v>
      </x:c>
      <x:c r="E10" s="46" t="str">
        <x:v>第11列反应液总量 × 20/30 + 15 µL，向上取10 µL；分装量按SOP表9。</x:v>
      </x:c>
      <x:c r="F10" s="7" t="n">
        <x:v>200</x:v>
      </x:c>
      <x:c r="G10" s="7" t="n">
        <x:v>360</x:v>
      </x:c>
      <x:c r="H10" s="7" t="n">
        <x:v>770</x:v>
      </x:c>
      <x:c r="I10" s="7" t="n">
        <x:v>970</x:v>
      </x:c>
      <x:c r="J10" s="7" t="n">
        <x:v>1170</x:v>
      </x:c>
      <x:c r="K10" s="7" t="n">
        <x:v>1370</x:v>
      </x:c>
    </x:row>
    <x:row r="11" ht="70" customHeight="1">
      <x:c r="A11" s="46" t="str">
        <x:v>T2溶解液（前处理建库及G99/200/2000全流程）</x:v>
      </x:c>
      <x:c r="B11" s="4" t="inlineStr">
        <x:is>
          <x:t xml:space="preserve">POS24 C1R2</x:t>
        </x:is>
      </x:c>
      <x:c r="C11" s="46" t="str">
        <x:v>8.0 mL冻存管</x:v>
      </x:c>
      <x:c r="D11" s="46" t="inlineStr">
        <x:is>
          <x:t xml:space="preserve">+320 µL</x:t>
        </x:is>
      </x:c>
      <x:c r="E11" s="46" t="str">
        <x:v>建库阶段T2消耗 + G99 pooling预算 + 320 µL，向上取10 µL；适用流程和分装量按SOP表9。</x:v>
      </x:c>
      <x:c r="F11" s="7" t="n">
        <x:v>1480</x:v>
      </x:c>
      <x:c r="G11" s="7" t="n">
        <x:v>2190</x:v>
      </x:c>
      <x:c r="H11" s="7" t="n">
        <x:v>3140</x:v>
      </x:c>
      <x:c r="I11" s="7" t="n">
        <x:v>3880</x:v>
      </x:c>
      <x:c r="J11" s="7" t="n">
        <x:v>4620</x:v>
      </x:c>
      <x:c r="K11" s="7" t="n">
        <x:v>5360</x:v>
      </x:c>
    </x:row>
    <x:row r="12" ht="70" customHeight="1">
      <x:c r="A12" s="46" t="str">
        <x:v>T2溶解液（E25全流程）</x:v>
      </x:c>
      <x:c r="B12" s="4" t="str">
        <x:v>POS24 C1R2</x:v>
      </x:c>
      <x:c r="C12" s="46" t="str">
        <x:v>8.0 mL冻存管</x:v>
      </x:c>
      <x:c r="D12" s="46" t="str">
        <x:v>已含320 µL来源冗余及额外600 µL</x:v>
      </x:c>
      <x:c r="E12" s="46" t="str">
        <x:v>1个DNB；N−1个非空白文库均8倍稀释；建库消耗、动态补液及320 µL来源冗余合计向上取100 µL，再加600 µL。</x:v>
      </x:c>
      <x:c r="F12" s="7" t="n">
        <x:v>2100</x:v>
      </x:c>
      <x:c r="G12" s="7" t="n">
        <x:v>3000</x:v>
      </x:c>
      <x:c r="H12" s="7" t="n">
        <x:v>4200</x:v>
      </x:c>
      <x:c r="I12" s="7" t="n">
        <x:v>5000</x:v>
      </x:c>
      <x:c r="J12" s="7" t="str">
        <x:v>/</x:v>
      </x:c>
      <x:c r="K12" s="7" t="str">
        <x:v>/</x:v>
      </x:c>
    </x:row>
    <x:row r="13" ht="45" customHeight="1">
      <x:c r="A13" s="46" t="str">
        <x:v>T1磁珠</x:v>
      </x:c>
      <x:c r="B13" s="4" t="inlineStr">
        <x:is>
          <x:t xml:space="preserve">POS24 C1R1</x:t>
        </x:is>
      </x:c>
      <x:c r="C13" s="46" t="str">
        <x:v>8.0 mL冻存管</x:v>
      </x:c>
      <x:c r="D13" s="46" t="inlineStr">
        <x:is>
          <x:t xml:space="preserve">+400 µL</x:t>
        </x:is>
      </x:c>
      <x:c r="E13" s="46" t="inlineStr">
        <x:is>
          <x:t xml:space="preserve">TA磁珠 50 × 1.4 × N + LA磁珠 55 × N</x:t>
        </x:is>
      </x:c>
      <x:c r="F13" s="7" t="n">
        <x:v>1400</x:v>
      </x:c>
      <x:c r="G13" s="7" t="n">
        <x:v>2400</x:v>
      </x:c>
      <x:c r="H13" s="7" t="n">
        <x:v>3400</x:v>
      </x:c>
      <x:c r="I13" s="7" t="n">
        <x:v>4400</x:v>
      </x:c>
      <x:c r="J13" s="7" t="n">
        <x:v>5400</x:v>
      </x:c>
      <x:c r="K13" s="7" t="n">
        <x:v>6400</x:v>
      </x:c>
    </x:row>
    <x:row r="14" ht="45" customHeight="1">
      <x:c r="A14" s="46" t="inlineStr">
        <x:is>
          <x:t xml:space="preserve">矿物油</x:t>
        </x:is>
      </x:c>
      <x:c r="B14" s="4" t="inlineStr">
        <x:is>
          <x:t xml:space="preserve">POS24 C3R1</x:t>
        </x:is>
      </x:c>
      <x:c r="C14" s="46" t="str">
        <x:v>8.0 mL冻存管</x:v>
      </x:c>
      <x:c r="D14" s="46" t="inlineStr">
        <x:is>
          <x:t xml:space="preserve">+320 µL</x:t>
        </x:is>
      </x:c>
      <x:c r="E14" s="46" t="inlineStr">
        <x:is>
          <x:t xml:space="preserve">按当前代码逻辑计算矿物油预分装总量</x:t>
        </x:is>
      </x:c>
      <x:c r="F14" s="7" t="n">
        <x:v>880</x:v>
      </x:c>
      <x:c r="G14" s="7" t="n">
        <x:v>1440</x:v>
      </x:c>
      <x:c r="H14" s="7" t="n">
        <x:v>2000</x:v>
      </x:c>
      <x:c r="I14" s="7" t="n">
        <x:v>2240</x:v>
      </x:c>
      <x:c r="J14" s="7" t="n">
        <x:v>2720</x:v>
      </x:c>
      <x:c r="K14" s="7" t="n">
        <x:v>3200</x:v>
      </x:c>
    </x:row>
    <x:row r="15" ht="45" customHeight="1">
      <x:c r="A15" s="46" t="inlineStr">
        <x:is>
          <x:t xml:space="preserve">80%乙醇</x:t>
        </x:is>
      </x:c>
      <x:c r="B15" s="4" t="inlineStr">
        <x:is>
          <x:t xml:space="preserve">POS3 reservoir</x:t>
        </x:is>
      </x:c>
      <x:c r="C15" s="46" t="str">
        <x:v>50 mL试剂槽</x:v>
      </x:c>
      <x:c r="D15" s="46" t="inlineStr">
        <x:is>
          <x:t xml:space="preserve">+3200 µL</x:t>
        </x:is>
      </x:c>
      <x:c r="E15" s="46" t="str">
        <x:v>195 × 5 × N + 3200 µL，向上取1000 µL；按SOP表9为11/19/27/35/43/50 mL。</x:v>
      </x:c>
      <x:c r="F15" s="7" t="n">
        <x:v>11000</x:v>
      </x:c>
      <x:c r="G15" s="7" t="n">
        <x:v>19000</x:v>
      </x:c>
      <x:c r="H15" s="7" t="n">
        <x:v>27000</x:v>
      </x:c>
      <x:c r="I15" s="7" t="n">
        <x:v>35000</x:v>
      </x:c>
      <x:c r="J15" s="7" t="n">
        <x:v>43000</x:v>
      </x:c>
      <x:c r="K15" s="7" t="n">
        <x:v>50000</x:v>
      </x:c>
    </x:row>
    <x:row r="16" ht="70" customHeight="1">
      <x:c r="A16" s="46" t="str">
        <x:v>Qubit染液（G99、200、2000全流程，前处理建库）</x:v>
      </x:c>
      <x:c r="B16" s="4" t="inlineStr">
        <x:is>
          <x:t xml:space="preserve">POS4 C1R1</x:t>
        </x:is>
      </x:c>
      <x:c r="C16" s="46" t="str">
        <x:v>50 mL避光试剂槽</x:v>
      </x:c>
      <x:c r="D16" s="46" t="inlineStr">
        <x:is>
          <x:t xml:space="preserve">+6510 µL</x:t>
        </x:is>
      </x:c>
      <x:c r="E16" s="46" t="str">
        <x:v>单轮定量：217.8 × N + 6510 µL试剂槽管底冗余，向上取1000 µL</x:v>
      </x:c>
      <x:c r="F16" s="7" t="n">
        <x:f>CEILING(F$3*217.8+6510,1000)</x:f>
        <x:v>9000</x:v>
      </x:c>
      <x:c r="G16" s="7" t="n">
        <x:f>CEILING(G$3*217.8+6510,1000)</x:f>
        <x:v>10000</x:v>
      </x:c>
      <x:c r="H16" s="7" t="n">
        <x:f>CEILING(H$3*217.8+6510,1000)</x:f>
        <x:v>12000</x:v>
      </x:c>
      <x:c r="I16" s="7" t="n">
        <x:f>CEILING(I$3*217.8+6510,1000)</x:f>
        <x:v>14000</x:v>
      </x:c>
      <x:c r="J16" s="7" t="n">
        <x:f>CEILING(J$3*217.8+6510,1000)</x:f>
        <x:v>16000</x:v>
      </x:c>
      <x:c r="K16" s="7" t="n">
        <x:f>CEILING(K$3*217.8+6510,1000)</x:f>
        <x:v>17000</x:v>
      </x:c>
    </x:row>
    <x:row r="17" ht="70" customHeight="1">
      <x:c r="A17" t="str" s="45">
        <x:v>Qubit染液（E25全流程，前处理建库）</x:v>
      </x:c>
      <x:c r="B17" t="str">
        <x:v>POS4 C1R1</x:v>
      </x:c>
      <x:c r="C17" t="str" s="45">
        <x:v>50 mL避光试剂槽</x:v>
      </x:c>
      <x:c r="D17" t="str" s="45">
        <x:v>+6510 µL</x:v>
      </x:c>
      <x:c r="E17" t="str" s="45">
        <x:v>两轮定量：2 × 217.8 × N + 6510 µL试剂槽管底冗余，向上取1000 µL</x:v>
      </x:c>
      <x:c r="F17" t="n">
        <x:f>CEILING(F$3*217.8*2+6510,1000)</x:f>
        <x:v>10000</x:v>
      </x:c>
      <x:c r="G17" t="n">
        <x:f>CEILING(G$3*217.8*2+6510,1000)</x:f>
        <x:v>14000</x:v>
      </x:c>
      <x:c r="H17" t="n">
        <x:f>CEILING(H$3*217.8*2+6510,1000)</x:f>
        <x:v>17000</x:v>
      </x:c>
      <x:c r="I17" t="n">
        <x:f>CEILING(I$3*217.8*2+6510,1000)</x:f>
        <x:v>21000</x:v>
      </x:c>
      <x:c r="J17" t="str">
        <x:v>/</x:v>
      </x:c>
      <x:c r="K17" t="str">
        <x:v>/</x:v>
      </x:c>
    </x:row>
    <x:row r="18" ht="45" customHeight="1">
      <x:c r="A18" t="str" s="45">
        <x:v>无核酸酶水（E25全流程）</x:v>
      </x:c>
      <x:c r="B18" t="str">
        <x:v>POS24 A2</x:v>
      </x:c>
      <x:c r="C18" t="str" s="45">
        <x:v>8.0 mL冻存管</x:v>
      </x:c>
      <x:c r="D18" t="str" s="45">
        <x:v>+320 µL</x:v>
      </x:c>
      <x:c r="E18" t="str" s="45">
        <x:v>最大代码消耗27 × N + 320 µL来源死体积，向上取10 µL</x:v>
      </x:c>
      <x:c r="F18" t="n">
        <x:f>CEILING(F$3*27+320,10)</x:f>
        <x:v>540</x:v>
      </x:c>
      <x:c r="G18" t="n">
        <x:f>CEILING(G$3*27+320,10)</x:f>
        <x:v>760</x:v>
      </x:c>
      <x:c r="H18" t="n">
        <x:f>CEILING(H$3*27+320,10)</x:f>
        <x:v>970</x:v>
      </x:c>
      <x:c r="I18" t="n">
        <x:f>CEILING(I$3*27+320,10)</x:f>
        <x:v>1190</x:v>
      </x:c>
      <x:c r="J18" t="str">
        <x:v>/</x:v>
      </x:c>
      <x:c r="K18" t="str">
        <x:v>/</x:v>
      </x:c>
    </x:row>
    <x:row r="19" ht="45" customHeight="1">
      <x:c r="A19" t="inlineStr" s="45">
        <x:is>
          <x:t xml:space="preserve">T12 空白对照</x:t>
        </x:is>
      </x:c>
      <x:c r="B19" t="inlineStr">
        <x:is>
          <x:t xml:space="preserve">POS17 F1</x:t>
        </x:is>
      </x:c>
      <x:c r="C19" t="inlineStr" s="45">
        <x:is>
          <x:t xml:space="preserve">0.5 mL冻存管</x:t>
        </x:is>
      </x:c>
      <x:c r="D19" t="inlineStr" s="45">
        <x:is>
          <x:t xml:space="preserve">+6 µL</x:t>
        </x:is>
      </x:c>
      <x:c r="E19" t="str" s="45">
        <x:v>14 × B + 6 µL；B为空白对照数量，按SOP表9。</x:v>
      </x:c>
      <x:c r="F19" t="inlineStr" s="45">
        <x:is>
          <x:t xml:space="preserve">14 × B + 6</x:t>
        </x:is>
      </x:c>
      <x:c r="G19" t="inlineStr" s="45">
        <x:is>
          <x:t xml:space="preserve">14 × B + 6</x:t>
        </x:is>
      </x:c>
      <x:c r="H19" t="inlineStr" s="45">
        <x:is>
          <x:t xml:space="preserve">14 × B + 6</x:t>
        </x:is>
      </x:c>
      <x:c r="I19" t="inlineStr" s="45">
        <x:is>
          <x:t xml:space="preserve">14 × B + 6</x:t>
        </x:is>
      </x:c>
      <x:c r="J19" t="inlineStr" s="45">
        <x:is>
          <x:t xml:space="preserve">14 × B + 6</x:t>
        </x:is>
      </x:c>
      <x:c r="K19" t="inlineStr" s="45">
        <x:is>
          <x:t xml:space="preserve">14 × B + 6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3.6640625" customWidth="1"/>
    <x:col min="2" max="2" width="13.83203125" customWidth="1"/>
    <x:col min="3" max="3" width="17.5" customWidth="1"/>
    <x:col min="4" max="4" width="22.83203125" customWidth="1"/>
    <x:col min="5" max="5" width="7.5" customWidth="1"/>
    <x:col min="6" max="10" width="8.5" customWidth="1"/>
  </x:cols>
  <x:sheetData>
    <x:row r="1" ht="30" customHeight="1">
      <x:c r="A1" s="1" t="inlineStr">
        <x:is>
          <x:t xml:space="preserve">PTseq 代码理论消耗量（不含来源冗余，µL）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 ht="15" customHeight="1">
      <x:c r="A3" s="3" t="inlineStr">
        <x:is>
          <x:t xml:space="preserve">来源项目</x:t>
        </x:is>
      </x:c>
      <x:c r="B3" s="3" t="inlineStr">
        <x:is>
          <x:t xml:space="preserve">台面位置</x:t>
        </x:is>
      </x:c>
      <x:c r="C3" s="3" t="inlineStr">
        <x:is>
          <x:t xml:space="preserve">耗材假设</x:t>
        </x:is>
      </x:c>
      <x:c r="D3" s="3" t="inlineStr">
        <x:is>
          <x:t xml:space="preserve">计算依据</x:t>
        </x:is>
      </x:c>
      <x:c r="E3" s="3" t="n">
        <x:v>8</x:v>
      </x:c>
      <x:c r="F3" s="3" t="n">
        <x:v>16</x:v>
      </x:c>
      <x:c r="G3" s="3" t="n">
        <x:v>24</x:v>
      </x:c>
      <x:c r="H3" s="3" t="n">
        <x:v>32</x:v>
      </x:c>
      <x:c r="I3" s="3" t="n">
        <x:v>40</x:v>
      </x:c>
      <x:c r="J3" s="3" t="n">
        <x:v>48</x:v>
      </x:c>
    </x:row>
    <x:row r="4" ht="40" customHeight="1">
      <x:c r="A4" s="46" t="str">
        <x:v>T1 cDNA合成引物</x:v>
      </x:c>
      <x:c r="B4" s="46" t="inlineStr">
        <x:is>
          <x:t xml:space="preserve">POS17 C1R1</x:t>
        </x:is>
      </x:c>
      <x:c r="C4" s="46" t="inlineStr">
        <x:is>
          <x:t xml:space="preserve">0.5 mL冻存管</x:t>
        </x:is>
      </x:c>
      <x:c r="D4" s="46" t="inlineStr">
        <x:is>
          <x:t xml:space="preserve">2 × N</x:t>
        </x:is>
      </x:c>
      <x:c r="E4" s="7" t="n">
        <x:v>16</x:v>
      </x:c>
      <x:c r="F4" s="7" t="n">
        <x:v>32</x:v>
      </x:c>
      <x:c r="G4" s="7" t="n">
        <x:v>48</x:v>
      </x:c>
      <x:c r="H4" s="7" t="n">
        <x:v>64</x:v>
      </x:c>
      <x:c r="I4" s="7" t="n">
        <x:v>80</x:v>
      </x:c>
      <x:c r="J4" s="7" t="n">
        <x:v>96</x:v>
      </x:c>
    </x:row>
    <x:row r="5" ht="40" customHeight="1">
      <x:c r="A5" s="46" t="str">
        <x:v>T2 一链合成缓冲液</x:v>
      </x:c>
      <x:c r="B5" s="46" t="inlineStr">
        <x:is>
          <x:t xml:space="preserve">POS17 C2R1</x:t>
        </x:is>
      </x:c>
      <x:c r="C5" s="46" t="inlineStr">
        <x:is>
          <x:t xml:space="preserve">0.5 mL冻存管</x:t>
        </x:is>
      </x:c>
      <x:c r="D5" s="46" t="inlineStr">
        <x:is>
          <x:t xml:space="preserve">第9列反应液总量 / 2；&gt;16通量增加2个完整POS7中转孔上游冗余</x:t>
        </x:is>
      </x:c>
      <x:c r="E5" s="7" t="n">
        <x:v>23.5</x:v>
      </x:c>
      <x:c r="F5" s="7" t="n">
        <x:v>39.5</x:v>
      </x:c>
      <x:c r="G5" s="7" t="n">
        <x:v>167.5</x:v>
      </x:c>
      <x:c r="H5" s="7" t="n">
        <x:v>187.5</x:v>
      </x:c>
      <x:c r="I5" s="7" t="n">
        <x:v>207.5</x:v>
      </x:c>
      <x:c r="J5" s="7" t="n">
        <x:v>227.5</x:v>
      </x:c>
    </x:row>
    <x:row r="6" ht="40" customHeight="1">
      <x:c r="A6" s="46" t="str">
        <x:v>T3 一链合成酶</x:v>
      </x:c>
      <x:c r="B6" s="46" t="inlineStr">
        <x:is>
          <x:t xml:space="preserve">POS17 C3R1</x:t>
        </x:is>
      </x:c>
      <x:c r="C6" s="46" t="inlineStr">
        <x:is>
          <x:t xml:space="preserve">0.5 mL冻存管</x:t>
        </x:is>
      </x:c>
      <x:c r="D6" s="46" t="inlineStr">
        <x:is>
          <x:t xml:space="preserve">第9列反应液总量 / 2；&gt;16通量增加2个完整POS7中转孔上游冗余</x:t>
        </x:is>
      </x:c>
      <x:c r="E6" s="7" t="n">
        <x:v>23.5</x:v>
      </x:c>
      <x:c r="F6" s="7" t="n">
        <x:v>39.5</x:v>
      </x:c>
      <x:c r="G6" s="7" t="n">
        <x:v>167.5</x:v>
      </x:c>
      <x:c r="H6" s="7" t="n">
        <x:v>187.5</x:v>
      </x:c>
      <x:c r="I6" s="7" t="n">
        <x:v>207.5</x:v>
      </x:c>
      <x:c r="J6" s="7" t="n">
        <x:v>227.5</x:v>
      </x:c>
    </x:row>
    <x:row r="7" ht="40" customHeight="1">
      <x:c r="A7" s="46" t="str">
        <x:v>T4 靶向扩增缓冲液</x:v>
      </x:c>
      <x:c r="B7" s="46" t="inlineStr">
        <x:is>
          <x:t xml:space="preserve">POS17 C1R2</x:t>
        </x:is>
      </x:c>
      <x:c r="C7" s="46" t="str">
        <x:v>2.0 mL冻存管</x:v>
      </x:c>
      <x:c r="D7" s="46" t="inlineStr">
        <x:is>
          <x:t xml:space="preserve">第10列反应液总量 × 5/15；&gt;16通量增加2个完整POS7中转孔上游冗余</x:t>
        </x:is>
      </x:c>
      <x:c r="E7" s="7" t="n">
        <x:v>48.33</x:v>
      </x:c>
      <x:c r="F7" s="7" t="n">
        <x:v>88.33</x:v>
      </x:c>
      <x:c r="G7" s="7" t="n">
        <x:v>225</x:v>
      </x:c>
      <x:c r="H7" s="7" t="n">
        <x:v>275</x:v>
      </x:c>
      <x:c r="I7" s="7" t="n">
        <x:v>325</x:v>
      </x:c>
      <x:c r="J7" s="7" t="n">
        <x:v>375</x:v>
      </x:c>
    </x:row>
    <x:row r="8" ht="40" customHeight="1">
      <x:c r="A8" s="46" t="str">
        <x:v>T5 靶向扩增酶</x:v>
      </x:c>
      <x:c r="B8" s="46" t="inlineStr">
        <x:is>
          <x:t xml:space="preserve">POS17 C2R2</x:t>
        </x:is>
      </x:c>
      <x:c r="C8" s="46" t="inlineStr">
        <x:is>
          <x:t xml:space="preserve">0.5 mL冻存管</x:t>
        </x:is>
      </x:c>
      <x:c r="D8" s="46" t="inlineStr">
        <x:is>
          <x:t xml:space="preserve">第10列反应液总量 × 3/15；&gt;16通量增加2个完整POS7中转孔上游冗余</x:t>
        </x:is>
      </x:c>
      <x:c r="E8" s="7" t="n">
        <x:v>29</x:v>
      </x:c>
      <x:c r="F8" s="7" t="n">
        <x:v>53</x:v>
      </x:c>
      <x:c r="G8" s="7" t="n">
        <x:v>135</x:v>
      </x:c>
      <x:c r="H8" s="7" t="n">
        <x:v>165</x:v>
      </x:c>
      <x:c r="I8" s="7" t="n">
        <x:v>195</x:v>
      </x:c>
      <x:c r="J8" s="7" t="n">
        <x:v>225</x:v>
      </x:c>
    </x:row>
    <x:row r="9" ht="40" customHeight="1">
      <x:c r="A9" s="46" t="inlineStr">
        <x:is>
          <x:t xml:space="preserve">T8 UDG酶</x:t>
        </x:is>
      </x:c>
      <x:c r="B9" s="46" t="inlineStr">
        <x:is>
          <x:t xml:space="preserve">POS17 C2R3</x:t>
        </x:is>
      </x:c>
      <x:c r="C9" s="46" t="str">
        <x:v>2.0 mL冻存管</x:v>
      </x:c>
      <x:c r="D9" s="46" t="inlineStr">
        <x:is>
          <x:t xml:space="preserve">第11列反应液总量 × 1/30；总量&gt;1421 µL时T8留在C2R3</x:t>
        </x:is>
      </x:c>
      <x:c r="E9" s="7" t="n">
        <x:v>9</x:v>
      </x:c>
      <x:c r="F9" s="7" t="n">
        <x:v>17</x:v>
      </x:c>
      <x:c r="G9" s="7" t="n">
        <x:v>37.67</x:v>
      </x:c>
      <x:c r="H9" s="7" t="n">
        <x:v>47.67</x:v>
      </x:c>
      <x:c r="I9" s="7" t="n">
        <x:v>57.67</x:v>
      </x:c>
      <x:c r="J9" s="7" t="n">
        <x:v>67.67</x:v>
      </x:c>
    </x:row>
    <x:row r="10" ht="40" customHeight="1">
      <x:c r="A10" s="46" t="str">
        <x:v>T7 PCR Mix</x:v>
      </x:c>
      <x:c r="B10" s="46" t="inlineStr">
        <x:is>
          <x:t xml:space="preserve">POS17 C1R3</x:t>
        </x:is>
      </x:c>
      <x:c r="C10" s="46" t="str">
        <x:v>2.0 mL冻存管</x:v>
      </x:c>
      <x:c r="D10" s="46" t="inlineStr">
        <x:is>
          <x:t xml:space="preserve">第11列反应液总量 × 20/30；总量&gt;1421 µL时C2R3只配置T7+T8</x:t>
        </x:is>
      </x:c>
      <x:c r="E10" s="7" t="n">
        <x:v>180</x:v>
      </x:c>
      <x:c r="F10" s="7" t="n">
        <x:v>340</x:v>
      </x:c>
      <x:c r="G10" s="7" t="n">
        <x:v>753.33</x:v>
      </x:c>
      <x:c r="H10" s="7" t="n">
        <x:v>953.33</x:v>
      </x:c>
      <x:c r="I10" s="7" t="n">
        <x:v>1153.33</x:v>
      </x:c>
      <x:c r="J10" s="7" t="n">
        <x:v>1353.33</x:v>
      </x:c>
    </x:row>
    <x:row r="11" ht="40" customHeight="1">
      <x:c r="A11" s="46" t="str">
        <x:v>T2溶解液（建库阶段代码消耗）</x:v>
      </x:c>
      <x:c r="B11" s="46" t="inlineStr">
        <x:is>
          <x:t xml:space="preserve">POS24 C1R2</x:t>
        </x:is>
      </x:c>
      <x:c r="C11" s="46" t="str">
        <x:v>8.0 mL冻存管</x:v>
      </x:c>
      <x:c r="D11" s="46" t="inlineStr">
        <x:is>
          <x:t xml:space="preserve">仅建库阶段：TA T2 + POS7 Col7 T2 + LA/PCR T2；G99 pooling预算另计入试剂分装表</x:t>
        </x:is>
      </x:c>
      <x:c r="E11" s="7" t="n">
        <x:v>686.27</x:v>
      </x:c>
      <x:c r="F11" s="7" t="n">
        <x:v>1351.87</x:v>
      </x:c>
      <x:c r="G11" s="7" t="n">
        <x:v>2266.8</x:v>
      </x:c>
      <x:c r="H11" s="7" t="n">
        <x:v>2871.4</x:v>
      </x:c>
      <x:c r="I11" s="7" t="n">
        <x:v>3662</x:v>
      </x:c>
      <x:c r="J11" s="7" t="n">
        <x:v>4359.6</x:v>
      </x:c>
    </x:row>
    <x:row r="12" ht="40" customHeight="1">
      <x:c r="A12" s="46" t="str">
        <x:v>T1磁珠</x:v>
      </x:c>
      <x:c r="B12" s="46" t="inlineStr">
        <x:is>
          <x:t xml:space="preserve">POS24 C1R1</x:t>
        </x:is>
      </x:c>
      <x:c r="C12" s="46" t="str">
        <x:v>8.0 mL冻存管</x:v>
      </x:c>
      <x:c r="D12" s="46" t="inlineStr">
        <x:is>
          <x:t xml:space="preserve">TA磁珠 50 × 1.4 × N + LA磁珠 55 × N</x:t>
        </x:is>
      </x:c>
      <x:c r="E12" s="7" t="n">
        <x:v>1000</x:v>
      </x:c>
      <x:c r="F12" s="7" t="n">
        <x:v>2000</x:v>
      </x:c>
      <x:c r="G12" s="7" t="n">
        <x:v>3000</x:v>
      </x:c>
      <x:c r="H12" s="7" t="n">
        <x:v>4000</x:v>
      </x:c>
      <x:c r="I12" s="7" t="n">
        <x:v>5000</x:v>
      </x:c>
      <x:c r="J12" s="7" t="n">
        <x:v>6000</x:v>
      </x:c>
    </x:row>
    <x:row r="13" ht="40" customHeight="1">
      <x:c r="A13" s="46" t="inlineStr">
        <x:is>
          <x:t xml:space="preserve">矿物油</x:t>
        </x:is>
      </x:c>
      <x:c r="B13" s="46" t="inlineStr">
        <x:is>
          <x:t xml:space="preserve">POS24 C3R1</x:t>
        </x:is>
      </x:c>
      <x:c r="C13" s="46" t="str">
        <x:v>8.0 mL冻存管</x:v>
      </x:c>
      <x:c r="D13" s="46" t="inlineStr">
        <x:is>
          <x:t xml:space="preserve">按当前代码逻辑计算矿物油预分装总量</x:t>
        </x:is>
      </x:c>
      <x:c r="E13" s="7" t="n">
        <x:v>560</x:v>
      </x:c>
      <x:c r="F13" s="7" t="n">
        <x:v>1120</x:v>
      </x:c>
      <x:c r="G13" s="7" t="n">
        <x:v>1680</x:v>
      </x:c>
      <x:c r="H13" s="7" t="n">
        <x:v>1920</x:v>
      </x:c>
      <x:c r="I13" s="7" t="n">
        <x:v>2400</x:v>
      </x:c>
      <x:c r="J13" s="7" t="n">
        <x:v>2880</x:v>
      </x:c>
    </x:row>
    <x:row r="14" ht="40" customHeight="1">
      <x:c r="A14" s="46" t="inlineStr">
        <x:is>
          <x:t xml:space="preserve">80%乙醇</x:t>
        </x:is>
      </x:c>
      <x:c r="B14" s="46" t="inlineStr">
        <x:is>
          <x:t xml:space="preserve">POS3 reservoir</x:t>
        </x:is>
      </x:c>
      <x:c r="C14" s="46" t="str">
        <x:v>50 mL试剂槽</x:v>
      </x:c>
      <x:c r="D14" s="46" t="inlineStr">
        <x:is>
          <x:t xml:space="preserve">195 × 5 × N</x:t>
        </x:is>
      </x:c>
      <x:c r="E14" s="7" t="n">
        <x:v>7800</x:v>
      </x:c>
      <x:c r="F14" s="7" t="n">
        <x:v>15600</x:v>
      </x:c>
      <x:c r="G14" s="7" t="n">
        <x:v>23400</x:v>
      </x:c>
      <x:c r="H14" s="7" t="n">
        <x:v>31200</x:v>
      </x:c>
      <x:c r="I14" s="7" t="n">
        <x:v>39000</x:v>
      </x:c>
      <x:c r="J14" s="7" t="n">
        <x:v>46800</x:v>
      </x:c>
    </x:row>
    <x:row r="15" ht="60" customHeight="1">
      <x:c r="A15" s="46" t="str">
        <x:v>Qubit染液（G99、200、2000全流程，前处理建库）</x:v>
      </x:c>
      <x:c r="B15" s="46" t="inlineStr">
        <x:is>
          <x:t xml:space="preserve">POS4 C1R1</x:t>
        </x:is>
      </x:c>
      <x:c r="C15" s="46" t="str">
        <x:v>50 mL避光试剂槽</x:v>
      </x:c>
      <x:c r="D15" s="46" t="inlineStr">
        <x:is>
          <x:t xml:space="preserve">单轮定量：217.8 × N</x:t>
        </x:is>
      </x:c>
      <x:c r="E15" s="7" t="n">
        <x:f>E$3*217.8</x:f>
        <x:v>1742.4</x:v>
      </x:c>
      <x:c r="F15" s="7" t="n">
        <x:f>F$3*217.8</x:f>
        <x:v>3484.8</x:v>
      </x:c>
      <x:c r="G15" s="7" t="n">
        <x:f>G$3*217.8</x:f>
        <x:v>5227.200000000001</x:v>
      </x:c>
      <x:c r="H15" s="7" t="n">
        <x:f>H$3*217.8</x:f>
        <x:v>6969.6</x:v>
      </x:c>
      <x:c r="I15" s="7" t="n">
        <x:f>I$3*217.8</x:f>
        <x:v>8712</x:v>
      </x:c>
      <x:c r="J15" s="7" t="n">
        <x:f>J$3*217.8</x:f>
        <x:v>10454.400000000001</x:v>
      </x:c>
    </x:row>
    <x:row r="16" ht="60" customHeight="1">
      <x:c r="A16" t="str" s="45">
        <x:v>Qubit染液（E25全流程，前处理建库）</x:v>
      </x:c>
      <x:c r="B16" t="str" s="45">
        <x:v>POS4 C1R1</x:v>
      </x:c>
      <x:c r="C16" t="str" s="45">
        <x:v>50 mL避光试剂槽</x:v>
      </x:c>
      <x:c r="D16" t="str" s="45">
        <x:v>两轮定量：2 × 217.8 × N</x:v>
      </x:c>
      <x:c r="E16" t="n">
        <x:f>E$3*217.8*2</x:f>
        <x:v>3484.8</x:v>
      </x:c>
      <x:c r="F16" t="n">
        <x:f>F$3*217.8*2</x:f>
        <x:v>6969.6</x:v>
      </x:c>
      <x:c r="G16" t="n">
        <x:f>G$3*217.8*2</x:f>
        <x:v>10454.400000000001</x:v>
      </x:c>
      <x:c r="H16" t="n">
        <x:f>H$3*217.8*2</x:f>
        <x:v>13939.2</x:v>
      </x:c>
      <x:c r="I16" t="str">
        <x:v>/</x:v>
      </x:c>
      <x:c r="J16" t="str">
        <x:v>/</x:v>
      </x:c>
    </x:row>
    <x:row r="17" ht="40" customHeight="1">
      <x:c r="A17" t="str" s="45">
        <x:v>无核酸酶水（E25全流程）</x:v>
      </x:c>
      <x:c r="B17" t="str" s="45">
        <x:v>POS24 A2</x:v>
      </x:c>
      <x:c r="C17" t="str" s="45">
        <x:v>8.0 mL冻存管</x:v>
      </x:c>
      <x:c r="D17" t="str" s="45">
        <x:v>最大代码消耗：27 × N</x:v>
      </x:c>
      <x:c r="E17" t="n">
        <x:f>E$3*27</x:f>
        <x:v>216</x:v>
      </x:c>
      <x:c r="F17" t="n">
        <x:f>F$3*27</x:f>
        <x:v>432</x:v>
      </x:c>
      <x:c r="G17" t="n">
        <x:f>G$3*27</x:f>
        <x:v>648</x:v>
      </x:c>
      <x:c r="H17" t="n">
        <x:f>H$3*27</x:f>
        <x:v>864</x:v>
      </x:c>
      <x:c r="I17" t="str">
        <x:v>/</x:v>
      </x:c>
      <x:c r="J17" t="str">
        <x:v>/</x:v>
      </x:c>
    </x:row>
    <x:row r="18" ht="40" customHeight="1">
      <x:c r="A18" t="inlineStr" s="45">
        <x:is>
          <x:t xml:space="preserve">T12 空白对照</x:t>
        </x:is>
      </x:c>
      <x:c r="B18" t="inlineStr" s="45">
        <x:is>
          <x:t xml:space="preserve">POS17 F1</x:t>
        </x:is>
      </x:c>
      <x:c r="C18" t="inlineStr" s="45">
        <x:is>
          <x:t xml:space="preserve">0.5 mL冻存管</x:t>
        </x:is>
      </x:c>
      <x:c r="D18" t="inlineStr" s="45">
        <x:is>
          <x:t xml:space="preserve">14 × 空白对照数量（质控类型为B的样本数）</x:t>
        </x:is>
      </x:c>
      <x:c r="E18" t="inlineStr">
        <x:is>
          <x:t xml:space="preserve">14 × B</x:t>
        </x:is>
      </x:c>
      <x:c r="F18" t="inlineStr">
        <x:is>
          <x:t xml:space="preserve">14 × B</x:t>
        </x:is>
      </x:c>
      <x:c r="G18" t="inlineStr">
        <x:is>
          <x:t xml:space="preserve">14 × B</x:t>
        </x:is>
      </x:c>
      <x:c r="H18" t="inlineStr">
        <x:is>
          <x:t xml:space="preserve">14 × B</x:t>
        </x:is>
      </x:c>
      <x:c r="I18" t="inlineStr">
        <x:is>
          <x:t xml:space="preserve">14 × B</x:t>
        </x:is>
      </x:c>
      <x:c r="J18" t="inlineStr">
        <x:is>
          <x:t xml:space="preserve">14 × B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8.1640625" customWidth="1"/>
    <x:col min="2" max="2" width="20.6640625" customWidth="1"/>
    <x:col min="3" max="3" width="19" customWidth="1"/>
    <x:col min="4" max="4" width="12.33203125" customWidth="1"/>
    <x:col min="5" max="5" width="88.33203125" customWidth="1"/>
  </x:cols>
  <x:sheetData>
    <x:row r="1" ht="15" customHeight="1">
      <x:c r="A1" s="1" t="inlineStr">
        <x:is>
          <x:t xml:space="preserve">PTseq 计算明细</x:t>
        </x:is>
      </x:c>
      <x:c r="B1" s="2" t="n"/>
      <x:c r="C1" s="2" t="n"/>
      <x:c r="D1" s="2" t="n"/>
      <x:c r="E1" s="2" t="n"/>
    </x:row>
    <x:row r="2">
      <x:c r="A2" s="2" t="n"/>
      <x:c r="B2" s="2" t="n"/>
      <x:c r="C2" s="2" t="n"/>
      <x:c r="D2" s="2" t="n"/>
      <x:c r="E2" s="2" t="n"/>
    </x:row>
    <x:row r="3" ht="15" customHeight="1">
      <x:c r="A3" s="3" t="inlineStr">
        <x:is>
          <x:t xml:space="preserve">样本数</x:t>
        </x:is>
      </x:c>
      <x:c r="B3" s="3" t="inlineStr">
        <x:is>
          <x:t xml:space="preserve">环节</x:t>
        </x:is>
      </x:c>
      <x:c r="C3" s="3" t="inlineStr">
        <x:is>
          <x:t xml:space="preserve">项目</x:t>
        </x:is>
      </x:c>
      <x:c r="D3" s="3" t="inlineStr">
        <x:is>
          <x:t xml:space="preserve">体积（µL）</x:t>
        </x:is>
      </x:c>
      <x:c r="E3" s="3" t="inlineStr">
        <x:is>
          <x:t xml:space="preserve">公式/说明</x:t>
        </x:is>
      </x:c>
    </x:row>
    <x:row r="4" ht="15" customHeight="1">
      <x:c r="A4" s="4" t="n">
        <x:v>8</x:v>
      </x:c>
      <x:c r="B4" s="4" t="inlineStr">
        <x:is>
          <x:t xml:space="preserve">分支规则</x:t>
        </x:is>
      </x:c>
      <x:c r="C4" s="4" t="inlineStr">
        <x:is>
          <x:t xml:space="preserve">第9/10/11列反应液</x:t>
        </x:is>
      </x:c>
      <x:c r="D4" s="27" t="inlineStr">
        <x:is>
          <x:t xml:space="preserve">P1直接分装</x:t>
        </x:is>
      </x:c>
      <x:c r="E4" s="4" t="inlineStr">
        <x:is>
          <x:t xml:space="preserve">样本数≤16使用P1直接分装；样本数&gt;16使用POS7/P8中转。</x:t>
        </x:is>
      </x:c>
    </x:row>
    <x:row r="5" ht="15" customHeight="1">
      <x:c r="A5" s="4" t="n">
        <x:v>8</x:v>
      </x:c>
      <x:c r="B5" s="4" t="inlineStr">
        <x:is>
          <x:t xml:space="preserve">第9列 cDNA反应液</x:t>
        </x:is>
      </x:c>
      <x:c r="C5" s="4" t="inlineStr">
        <x:is>
          <x:t xml:space="preserve">混合管总量</x:t>
        </x:is>
      </x:c>
      <x:c r="D5" s="27" t="n">
        <x:v>47</x:v>
      </x:c>
      <x:c r="E5" s="4" t="inlineStr">
        <x:is>
          <x:t xml:space="preserve">直接分装：4 × N + 15；POS7/P8：sum(活跃列数 × 4 + 20) + 15 + 2 × max(POS7单孔体积)。</x:t>
        </x:is>
      </x:c>
    </x:row>
    <x:row r="6" ht="15" customHeight="1">
      <x:c r="A6" s="4" t="n">
        <x:v>8</x:v>
      </x:c>
      <x:c r="B6" s="4" t="inlineStr">
        <x:is>
          <x:t xml:space="preserve">第10列 TA反应液</x:t>
        </x:is>
      </x:c>
      <x:c r="C6" s="4" t="inlineStr">
        <x:is>
          <x:t xml:space="preserve">混合管总量</x:t>
        </x:is>
      </x:c>
      <x:c r="D6" s="27" t="n">
        <x:v>145</x:v>
      </x:c>
      <x:c r="E6" s="4" t="inlineStr">
        <x:is>
          <x:t xml:space="preserve">直接分装：15 × N + 25；POS7/P8：sum(活跃列数 × 15 + 20) + 25 + 2 × max(POS7单孔体积)。</x:t>
        </x:is>
      </x:c>
    </x:row>
    <x:row r="7" ht="30" customHeight="1">
      <x:c r="A7" s="4" t="n">
        <x:v>8</x:v>
      </x:c>
      <x:c r="B7" s="4" t="inlineStr">
        <x:is>
          <x:t xml:space="preserve">第11列 LA/PCR反应液</x:t>
        </x:is>
      </x:c>
      <x:c r="C7" s="4" t="inlineStr">
        <x:is>
          <x:t xml:space="preserve">混合管总量</x:t>
        </x:is>
      </x:c>
      <x:c r="D7" s="27" t="n">
        <x:v>270</x:v>
      </x:c>
      <x:c r="E7" s="4" t="inlineStr">
        <x:is>
          <x:t xml:space="preserve">直接分装：30 × N + 30；POS7/P8：sum(活跃列数 × 30 + 20) + 30 + 2 × max(POS7单孔体积)；总量&gt;1421 µL时C2R3只配置T7+T8。</x:t>
        </x:is>
      </x:c>
    </x:row>
    <x:row r="8" ht="15" customHeight="1">
      <x:c r="A8" s="4" t="n">
        <x:v>8</x:v>
      </x:c>
      <x:c r="B8" s="4" t="inlineStr">
        <x:is>
          <x:t xml:space="preserve">T2缓冲液共用来源</x:t>
        </x:is>
      </x:c>
      <x:c r="C8" s="4" t="inlineStr">
        <x:is>
          <x:t xml:space="preserve">TA T2组分</x:t>
        </x:is>
      </x:c>
      <x:c r="D8" s="27" t="n">
        <x:v>67.67</x:v>
      </x:c>
      <x:c r="E8" s="4" t="inlineStr">
        <x:is>
          <x:t xml:space="preserve">第10列反应液总量 × 7/15。</x:t>
        </x:is>
      </x:c>
    </x:row>
    <x:row r="9" ht="15" customHeight="1">
      <x:c r="A9" s="4" t="n">
        <x:v>8</x:v>
      </x:c>
      <x:c r="B9" s="4" t="inlineStr">
        <x:is>
          <x:t xml:space="preserve">T2缓冲液共用来源</x:t>
        </x:is>
      </x:c>
      <x:c r="C9" s="4" t="inlineStr">
        <x:is>
          <x:t xml:space="preserve">POS7 Col7 T2中转量</x:t>
        </x:is>
      </x:c>
      <x:c r="D9" s="27" t="n">
        <x:v>537.6</x:v>
      </x:c>
      <x:c r="E9" s="4" t="inlineStr">
        <x:is>
          <x:t xml:space="preserve">代码模式：48 × 1.4 × N。</x:t>
        </x:is>
      </x:c>
    </x:row>
    <x:row r="10" ht="15" customHeight="1">
      <x:c r="A10" s="4" t="n">
        <x:v>8</x:v>
      </x:c>
      <x:c r="B10" s="4" t="inlineStr">
        <x:is>
          <x:t xml:space="preserve">T2缓冲液共用来源</x:t>
        </x:is>
      </x:c>
      <x:c r="C10" s="4" t="inlineStr">
        <x:is>
          <x:t xml:space="preserve">LA/PCR T2组分</x:t>
        </x:is>
      </x:c>
      <x:c r="D10" s="27" t="n">
        <x:v>81</x:v>
      </x:c>
      <x:c r="E10" s="4" t="inlineStr">
        <x:is>
          <x:t xml:space="preserve">第11列反应液总量 × 9/30；总量&gt;1421 µL时T2直接加入POS7 Col11。</x:t>
        </x:is>
      </x:c>
    </x:row>
    <x:row r="11" ht="15" customHeight="1">
      <x:c r="A11" s="4" t="n">
        <x:v>8</x:v>
      </x:c>
      <x:c r="B11" s="4" t="str">
        <x:v>E25 Qubit染液</x:v>
      </x:c>
      <x:c r="C11" s="4" t="inlineStr">
        <x:is>
          <x:t xml:space="preserve">POS4 C1R1分装量</x:t>
        </x:is>
      </x:c>
      <x:c r="D11" s="27" t="n">
        <x:f>CEILING(A11*217.8*2+6510,1000)</x:f>
        <x:v>10000</x:v>
      </x:c>
      <x:c r="E11" s="4" t="str">
        <x:v>两轮定量：2 × 217.8 µL/样本 + 6510 µL 50 mL试剂槽管底冗余，向上取1000 µL。</x:v>
      </x:c>
    </x:row>
    <x:row r="12" ht="15" customHeight="1">
      <x:c r="A12" s="4" t="n">
        <x:v>16</x:v>
      </x:c>
      <x:c r="B12" s="4" t="inlineStr">
        <x:is>
          <x:t xml:space="preserve">分支规则</x:t>
        </x:is>
      </x:c>
      <x:c r="C12" s="4" t="inlineStr">
        <x:is>
          <x:t xml:space="preserve">第9/10/11列反应液</x:t>
        </x:is>
      </x:c>
      <x:c r="D12" s="27" t="inlineStr">
        <x:is>
          <x:t xml:space="preserve">P1直接分装</x:t>
        </x:is>
      </x:c>
      <x:c r="E12" s="4" t="inlineStr">
        <x:is>
          <x:t xml:space="preserve">样本数≤16使用P1直接分装；样本数&gt;16使用POS7/P8中转。</x:t>
        </x:is>
      </x:c>
    </x:row>
    <x:row r="13" ht="15" customHeight="1">
      <x:c r="A13" s="4" t="n">
        <x:v>16</x:v>
      </x:c>
      <x:c r="B13" s="4" t="inlineStr">
        <x:is>
          <x:t xml:space="preserve">第9列 cDNA反应液</x:t>
        </x:is>
      </x:c>
      <x:c r="C13" s="4" t="inlineStr">
        <x:is>
          <x:t xml:space="preserve">混合管总量</x:t>
        </x:is>
      </x:c>
      <x:c r="D13" s="27" t="n">
        <x:v>79</x:v>
      </x:c>
      <x:c r="E13" s="4" t="inlineStr">
        <x:is>
          <x:t xml:space="preserve">直接分装：4 × N + 15；POS7/P8：sum(活跃列数 × 4 + 20) + 15 + 2 × max(POS7单孔体积)。</x:t>
        </x:is>
      </x:c>
    </x:row>
    <x:row r="14" ht="15" customHeight="1">
      <x:c r="A14" s="4" t="n">
        <x:v>16</x:v>
      </x:c>
      <x:c r="B14" s="4" t="inlineStr">
        <x:is>
          <x:t xml:space="preserve">第10列 TA反应液</x:t>
        </x:is>
      </x:c>
      <x:c r="C14" s="4" t="inlineStr">
        <x:is>
          <x:t xml:space="preserve">混合管总量</x:t>
        </x:is>
      </x:c>
      <x:c r="D14" s="27" t="n">
        <x:v>265</x:v>
      </x:c>
      <x:c r="E14" s="4" t="inlineStr">
        <x:is>
          <x:t xml:space="preserve">直接分装：15 × N + 25；POS7/P8：sum(活跃列数 × 15 + 20) + 25 + 2 × max(POS7单孔体积)。</x:t>
        </x:is>
      </x:c>
    </x:row>
    <x:row r="15" ht="30" customHeight="1">
      <x:c r="A15" s="4" t="n">
        <x:v>16</x:v>
      </x:c>
      <x:c r="B15" s="4" t="inlineStr">
        <x:is>
          <x:t xml:space="preserve">第11列 LA/PCR反应液</x:t>
        </x:is>
      </x:c>
      <x:c r="C15" s="4" t="inlineStr">
        <x:is>
          <x:t xml:space="preserve">混合管总量</x:t>
        </x:is>
      </x:c>
      <x:c r="D15" s="27" t="n">
        <x:v>510</x:v>
      </x:c>
      <x:c r="E15" s="4" t="inlineStr">
        <x:is>
          <x:t xml:space="preserve">直接分装：30 × N + 30；POS7/P8：sum(活跃列数 × 30 + 20) + 30 + 2 × max(POS7单孔体积)；总量&gt;1421 µL时C2R3只配置T7+T8。</x:t>
        </x:is>
      </x:c>
    </x:row>
    <x:row r="16" ht="15" customHeight="1">
      <x:c r="A16" s="4" t="n">
        <x:v>16</x:v>
      </x:c>
      <x:c r="B16" s="4" t="inlineStr">
        <x:is>
          <x:t xml:space="preserve">T2缓冲液共用来源</x:t>
        </x:is>
      </x:c>
      <x:c r="C16" s="4" t="inlineStr">
        <x:is>
          <x:t xml:space="preserve">TA T2组分</x:t>
        </x:is>
      </x:c>
      <x:c r="D16" s="27" t="n">
        <x:v>123.67</x:v>
      </x:c>
      <x:c r="E16" s="4" t="inlineStr">
        <x:is>
          <x:t xml:space="preserve">第10列反应液总量 × 7/15。</x:t>
        </x:is>
      </x:c>
    </x:row>
    <x:row r="17" ht="15" customHeight="1">
      <x:c r="A17" s="4" t="n">
        <x:v>16</x:v>
      </x:c>
      <x:c r="B17" s="4" t="inlineStr">
        <x:is>
          <x:t xml:space="preserve">T2缓冲液共用来源</x:t>
        </x:is>
      </x:c>
      <x:c r="C17" s="4" t="inlineStr">
        <x:is>
          <x:t xml:space="preserve">POS7 Col7 T2中转量</x:t>
        </x:is>
      </x:c>
      <x:c r="D17" s="27" t="n">
        <x:v>1075.2</x:v>
      </x:c>
      <x:c r="E17" s="4" t="inlineStr">
        <x:is>
          <x:t xml:space="preserve">代码模式：48 × 1.4 × N。</x:t>
        </x:is>
      </x:c>
    </x:row>
    <x:row r="18" ht="15" customHeight="1">
      <x:c r="A18" s="4" t="n">
        <x:v>16</x:v>
      </x:c>
      <x:c r="B18" s="4" t="inlineStr">
        <x:is>
          <x:t xml:space="preserve">T2缓冲液共用来源</x:t>
        </x:is>
      </x:c>
      <x:c r="C18" s="4" t="inlineStr">
        <x:is>
          <x:t xml:space="preserve">LA/PCR T2组分</x:t>
        </x:is>
      </x:c>
      <x:c r="D18" s="27" t="n">
        <x:v>153</x:v>
      </x:c>
      <x:c r="E18" s="4" t="inlineStr">
        <x:is>
          <x:t xml:space="preserve">第11列反应液总量 × 9/30；总量&gt;1421 µL时T2直接加入POS7 Col11。</x:t>
        </x:is>
      </x:c>
    </x:row>
    <x:row r="19" ht="15" customHeight="1">
      <x:c r="A19" s="4" t="n">
        <x:v>16</x:v>
      </x:c>
      <x:c r="B19" s="4" t="str">
        <x:v>E25 Qubit染液</x:v>
      </x:c>
      <x:c r="C19" s="4" t="inlineStr">
        <x:is>
          <x:t xml:space="preserve">POS4 C1R1分装量</x:t>
        </x:is>
      </x:c>
      <x:c r="D19" s="27" t="n">
        <x:f>CEILING(A19*217.8*2+6510,1000)</x:f>
        <x:v>14000</x:v>
      </x:c>
      <x:c r="E19" s="4" t="str">
        <x:v>两轮定量：2 × 217.8 µL/样本 + 6510 µL 50 mL试剂槽管底冗余，向上取1000 µL。</x:v>
      </x:c>
    </x:row>
    <x:row r="20" ht="15" customHeight="1">
      <x:c r="A20" s="4" t="n">
        <x:v>24</x:v>
      </x:c>
      <x:c r="B20" s="4" t="inlineStr">
        <x:is>
          <x:t xml:space="preserve">分支规则</x:t>
        </x:is>
      </x:c>
      <x:c r="C20" s="4" t="inlineStr">
        <x:is>
          <x:t xml:space="preserve">第9/10/11列反应液</x:t>
        </x:is>
      </x:c>
      <x:c r="D20" s="27" t="inlineStr">
        <x:is>
          <x:t xml:space="preserve">POS7/P8中转</x:t>
        </x:is>
      </x:c>
      <x:c r="E20" s="4" t="inlineStr">
        <x:is>
          <x:t xml:space="preserve">样本数≤16使用P1直接分装；样本数&gt;16使用POS7/P8中转。</x:t>
        </x:is>
      </x:c>
    </x:row>
    <x:row r="21" ht="15" customHeight="1">
      <x:c r="A21" s="4" t="n">
        <x:v>24</x:v>
      </x:c>
      <x:c r="B21" s="4" t="inlineStr">
        <x:is>
          <x:t xml:space="preserve">第9列 cDNA反应液</x:t>
        </x:is>
      </x:c>
      <x:c r="C21" s="4" t="inlineStr">
        <x:is>
          <x:t xml:space="preserve">混合管总量</x:t>
        </x:is>
      </x:c>
      <x:c r="D21" s="27" t="n">
        <x:v>335</x:v>
      </x:c>
      <x:c r="E21" s="4" t="inlineStr">
        <x:is>
          <x:t xml:space="preserve">直接分装：4 × N + 15；POS7/P8：sum(活跃列数 × 4 + 20) + 15 + 2 × max(POS7单孔体积)。</x:t>
        </x:is>
      </x:c>
    </x:row>
    <x:row r="22" ht="15" customHeight="1">
      <x:c r="A22" s="4" t="n">
        <x:v>24</x:v>
      </x:c>
      <x:c r="B22" s="4" t="inlineStr">
        <x:is>
          <x:t xml:space="preserve">第10列 TA反应液</x:t>
        </x:is>
      </x:c>
      <x:c r="C22" s="4" t="inlineStr">
        <x:is>
          <x:t xml:space="preserve">混合管总量</x:t>
        </x:is>
      </x:c>
      <x:c r="D22" s="27" t="n">
        <x:v>675</x:v>
      </x:c>
      <x:c r="E22" s="4" t="inlineStr">
        <x:is>
          <x:t xml:space="preserve">直接分装：15 × N + 25；POS7/P8：sum(活跃列数 × 15 + 20) + 25 + 2 × max(POS7单孔体积)。</x:t>
        </x:is>
      </x:c>
    </x:row>
    <x:row r="23" ht="30" customHeight="1">
      <x:c r="A23" s="4" t="n">
        <x:v>24</x:v>
      </x:c>
      <x:c r="B23" s="4" t="inlineStr">
        <x:is>
          <x:t xml:space="preserve">第11列 LA/PCR反应液</x:t>
        </x:is>
      </x:c>
      <x:c r="C23" s="4" t="inlineStr">
        <x:is>
          <x:t xml:space="preserve">混合管总量</x:t>
        </x:is>
      </x:c>
      <x:c r="D23" s="27" t="n">
        <x:v>1130</x:v>
      </x:c>
      <x:c r="E23" s="4" t="inlineStr">
        <x:is>
          <x:t xml:space="preserve">直接分装：30 × N + 30；POS7/P8：sum(活跃列数 × 30 + 20) + 30 + 2 × max(POS7单孔体积)；总量&gt;1421 µL时C2R3只配置T7+T8。</x:t>
        </x:is>
      </x:c>
    </x:row>
    <x:row r="24" ht="15" customHeight="1">
      <x:c r="A24" s="4" t="n">
        <x:v>24</x:v>
      </x:c>
      <x:c r="B24" s="4" t="inlineStr">
        <x:is>
          <x:t xml:space="preserve">T2缓冲液共用来源</x:t>
        </x:is>
      </x:c>
      <x:c r="C24" s="4" t="inlineStr">
        <x:is>
          <x:t xml:space="preserve">TA T2组分</x:t>
        </x:is>
      </x:c>
      <x:c r="D24" s="27" t="n">
        <x:v>315</x:v>
      </x:c>
      <x:c r="E24" s="4" t="inlineStr">
        <x:is>
          <x:t xml:space="preserve">第10列反应液总量 × 7/15。</x:t>
        </x:is>
      </x:c>
    </x:row>
    <x:row r="25" ht="15" customHeight="1">
      <x:c r="A25" s="4" t="n">
        <x:v>24</x:v>
      </x:c>
      <x:c r="B25" s="4" t="inlineStr">
        <x:is>
          <x:t xml:space="preserve">T2缓冲液共用来源</x:t>
        </x:is>
      </x:c>
      <x:c r="C25" s="4" t="inlineStr">
        <x:is>
          <x:t xml:space="preserve">POS7 Col7 T2中转量</x:t>
        </x:is>
      </x:c>
      <x:c r="D25" s="27" t="n">
        <x:v>1612.8</x:v>
      </x:c>
      <x:c r="E25" s="4" t="inlineStr">
        <x:is>
          <x:t xml:space="preserve">代码模式：48 × 1.4 × N。</x:t>
        </x:is>
      </x:c>
    </x:row>
    <x:row r="26" ht="15" customHeight="1">
      <x:c r="A26" s="4" t="n">
        <x:v>24</x:v>
      </x:c>
      <x:c r="B26" s="4" t="inlineStr">
        <x:is>
          <x:t xml:space="preserve">T2缓冲液共用来源</x:t>
        </x:is>
      </x:c>
      <x:c r="C26" s="4" t="inlineStr">
        <x:is>
          <x:t xml:space="preserve">LA/PCR T2组分</x:t>
        </x:is>
      </x:c>
      <x:c r="D26" s="27" t="n">
        <x:v>339</x:v>
      </x:c>
      <x:c r="E26" s="4" t="inlineStr">
        <x:is>
          <x:t xml:space="preserve">第11列反应液总量 × 9/30；总量&gt;1421 µL时T2直接加入POS7 Col11。</x:t>
        </x:is>
      </x:c>
    </x:row>
    <x:row r="27" ht="15" customHeight="1">
      <x:c r="A27" s="4" t="n">
        <x:v>24</x:v>
      </x:c>
      <x:c r="B27" s="4" t="str">
        <x:v>E25 Qubit染液</x:v>
      </x:c>
      <x:c r="C27" s="4" t="inlineStr">
        <x:is>
          <x:t xml:space="preserve">POS4 C1R1分装量</x:t>
        </x:is>
      </x:c>
      <x:c r="D27" s="27" t="n">
        <x:f>CEILING(A27*217.8*2+6510,1000)</x:f>
        <x:v>17000</x:v>
      </x:c>
      <x:c r="E27" s="4" t="str">
        <x:v>两轮定量：2 × 217.8 µL/样本 + 6510 µL 50 mL试剂槽管底冗余，向上取1000 µL。</x:v>
      </x:c>
    </x:row>
    <x:row r="28" ht="15" customHeight="1">
      <x:c r="A28" s="4" t="n">
        <x:v>32</x:v>
      </x:c>
      <x:c r="B28" s="4" t="inlineStr">
        <x:is>
          <x:t xml:space="preserve">分支规则</x:t>
        </x:is>
      </x:c>
      <x:c r="C28" s="4" t="inlineStr">
        <x:is>
          <x:t xml:space="preserve">第9/10/11列反应液</x:t>
        </x:is>
      </x:c>
      <x:c r="D28" s="27" t="inlineStr">
        <x:is>
          <x:t xml:space="preserve">POS7/P8中转</x:t>
        </x:is>
      </x:c>
      <x:c r="E28" s="4" t="inlineStr">
        <x:is>
          <x:t xml:space="preserve">样本数≤16使用P1直接分装；样本数&gt;16使用POS7/P8中转。</x:t>
        </x:is>
      </x:c>
    </x:row>
    <x:row r="29" ht="15" customHeight="1">
      <x:c r="A29" s="4" t="n">
        <x:v>32</x:v>
      </x:c>
      <x:c r="B29" s="4" t="inlineStr">
        <x:is>
          <x:t xml:space="preserve">第9列 cDNA反应液</x:t>
        </x:is>
      </x:c>
      <x:c r="C29" s="4" t="inlineStr">
        <x:is>
          <x:t xml:space="preserve">混合管总量</x:t>
        </x:is>
      </x:c>
      <x:c r="D29" s="27" t="n">
        <x:v>375</x:v>
      </x:c>
      <x:c r="E29" s="4" t="inlineStr">
        <x:is>
          <x:t xml:space="preserve">直接分装：4 × N + 15；POS7/P8：sum(活跃列数 × 4 + 20) + 15 + 2 × max(POS7单孔体积)。</x:t>
        </x:is>
      </x:c>
    </x:row>
    <x:row r="30" ht="15" customHeight="1">
      <x:c r="A30" s="4" t="n">
        <x:v>32</x:v>
      </x:c>
      <x:c r="B30" s="4" t="inlineStr">
        <x:is>
          <x:t xml:space="preserve">第10列 TA反应液</x:t>
        </x:is>
      </x:c>
      <x:c r="C30" s="4" t="inlineStr">
        <x:is>
          <x:t xml:space="preserve">混合管总量</x:t>
        </x:is>
      </x:c>
      <x:c r="D30" s="27" t="n">
        <x:v>825</x:v>
      </x:c>
      <x:c r="E30" s="4" t="inlineStr">
        <x:is>
          <x:t xml:space="preserve">直接分装：15 × N + 25；POS7/P8：sum(活跃列数 × 15 + 20) + 25 + 2 × max(POS7单孔体积)。</x:t>
        </x:is>
      </x:c>
    </x:row>
    <x:row r="31" ht="30" customHeight="1">
      <x:c r="A31" s="4" t="n">
        <x:v>32</x:v>
      </x:c>
      <x:c r="B31" s="4" t="inlineStr">
        <x:is>
          <x:t xml:space="preserve">第11列 LA/PCR反应液</x:t>
        </x:is>
      </x:c>
      <x:c r="C31" s="4" t="inlineStr">
        <x:is>
          <x:t xml:space="preserve">混合管总量</x:t>
        </x:is>
      </x:c>
      <x:c r="D31" s="27" t="n">
        <x:v>1430</x:v>
      </x:c>
      <x:c r="E31" s="4" t="inlineStr">
        <x:is>
          <x:t xml:space="preserve">直接分装：30 × N + 30；POS7/P8：sum(活跃列数 × 30 + 20) + 30 + 2 × max(POS7单孔体积)；总量&gt;1421 µL时C2R3只配置T7+T8。</x:t>
        </x:is>
      </x:c>
    </x:row>
    <x:row r="32" ht="15" customHeight="1">
      <x:c r="A32" s="4" t="n">
        <x:v>32</x:v>
      </x:c>
      <x:c r="B32" s="4" t="inlineStr">
        <x:is>
          <x:t xml:space="preserve">T2缓冲液共用来源</x:t>
        </x:is>
      </x:c>
      <x:c r="C32" s="4" t="inlineStr">
        <x:is>
          <x:t xml:space="preserve">TA T2组分</x:t>
        </x:is>
      </x:c>
      <x:c r="D32" s="27" t="n">
        <x:v>385</x:v>
      </x:c>
      <x:c r="E32" s="4" t="inlineStr">
        <x:is>
          <x:t xml:space="preserve">第10列反应液总量 × 7/15。</x:t>
        </x:is>
      </x:c>
    </x:row>
    <x:row r="33" ht="15" customHeight="1">
      <x:c r="A33" s="4" t="n">
        <x:v>32</x:v>
      </x:c>
      <x:c r="B33" s="4" t="inlineStr">
        <x:is>
          <x:t xml:space="preserve">T2缓冲液共用来源</x:t>
        </x:is>
      </x:c>
      <x:c r="C33" s="4" t="inlineStr">
        <x:is>
          <x:t xml:space="preserve">POS7 Col7 T2中转量</x:t>
        </x:is>
      </x:c>
      <x:c r="D33" s="27" t="n">
        <x:v>2150.4</x:v>
      </x:c>
      <x:c r="E33" s="4" t="inlineStr">
        <x:is>
          <x:t xml:space="preserve">代码模式：48 × 1.4 × N。</x:t>
        </x:is>
      </x:c>
    </x:row>
    <x:row r="34" ht="15" customHeight="1">
      <x:c r="A34" s="4" t="n">
        <x:v>32</x:v>
      </x:c>
      <x:c r="B34" s="4" t="inlineStr">
        <x:is>
          <x:t xml:space="preserve">T2缓冲液共用来源</x:t>
        </x:is>
      </x:c>
      <x:c r="C34" s="4" t="inlineStr">
        <x:is>
          <x:t xml:space="preserve">LA/PCR T2组分</x:t>
        </x:is>
      </x:c>
      <x:c r="D34" s="27" t="n">
        <x:v>336</x:v>
      </x:c>
      <x:c r="E34" s="4" t="str">
        <x:v>32例时LA总量1430 µL超过1421 µL，T2直接加入POS7 Col11：8 × 140 × 9/30 = 336 µL。</x:v>
      </x:c>
    </x:row>
    <x:row r="35" ht="15" customHeight="1">
      <x:c r="A35" s="4" t="n">
        <x:v>32</x:v>
      </x:c>
      <x:c r="B35" s="4" t="str">
        <x:v>E25 Qubit染液</x:v>
      </x:c>
      <x:c r="C35" s="4" t="inlineStr">
        <x:is>
          <x:t xml:space="preserve">POS4 C1R1分装量</x:t>
        </x:is>
      </x:c>
      <x:c r="D35" s="27" t="n">
        <x:f>CEILING(A35*217.8*2+6510,1000)</x:f>
        <x:v>21000</x:v>
      </x:c>
      <x:c r="E35" s="4" t="str">
        <x:v>两轮定量：2 × 217.8 µL/样本 + 6510 µL 50 mL试剂槽管底冗余，向上取1000 µL。</x:v>
      </x:c>
    </x:row>
    <x:row r="36" ht="15" customHeight="1">
      <x:c r="A36" s="4" t="n">
        <x:v>40</x:v>
      </x:c>
      <x:c r="B36" s="4" t="inlineStr">
        <x:is>
          <x:t xml:space="preserve">分支规则</x:t>
        </x:is>
      </x:c>
      <x:c r="C36" s="4" t="inlineStr">
        <x:is>
          <x:t xml:space="preserve">第9/10/11列反应液</x:t>
        </x:is>
      </x:c>
      <x:c r="D36" s="27" t="inlineStr">
        <x:is>
          <x:t xml:space="preserve">POS7/P8中转</x:t>
        </x:is>
      </x:c>
      <x:c r="E36" s="4" t="inlineStr">
        <x:is>
          <x:t xml:space="preserve">样本数≤16使用P1直接分装；样本数&gt;16使用POS7/P8中转。</x:t>
        </x:is>
      </x:c>
    </x:row>
    <x:row r="37" ht="15" customHeight="1">
      <x:c r="A37" s="4" t="n">
        <x:v>40</x:v>
      </x:c>
      <x:c r="B37" s="4" t="inlineStr">
        <x:is>
          <x:t xml:space="preserve">第9列 cDNA反应液</x:t>
        </x:is>
      </x:c>
      <x:c r="C37" s="4" t="inlineStr">
        <x:is>
          <x:t xml:space="preserve">混合管总量</x:t>
        </x:is>
      </x:c>
      <x:c r="D37" s="27" t="n">
        <x:v>415</x:v>
      </x:c>
      <x:c r="E37" s="4" t="inlineStr">
        <x:is>
          <x:t xml:space="preserve">直接分装：4 × N + 15；POS7/P8：sum(活跃列数 × 4 + 20) + 15 + 2 × max(POS7单孔体积)。</x:t>
        </x:is>
      </x:c>
    </x:row>
    <x:row r="38" ht="15" customHeight="1">
      <x:c r="A38" s="4" t="n">
        <x:v>40</x:v>
      </x:c>
      <x:c r="B38" s="4" t="inlineStr">
        <x:is>
          <x:t xml:space="preserve">第10列 TA反应液</x:t>
        </x:is>
      </x:c>
      <x:c r="C38" s="4" t="inlineStr">
        <x:is>
          <x:t xml:space="preserve">混合管总量</x:t>
        </x:is>
      </x:c>
      <x:c r="D38" s="27" t="n">
        <x:v>975</x:v>
      </x:c>
      <x:c r="E38" s="4" t="inlineStr">
        <x:is>
          <x:t xml:space="preserve">直接分装：15 × N + 25；POS7/P8：sum(活跃列数 × 15 + 20) + 25 + 2 × max(POS7单孔体积)。</x:t>
        </x:is>
      </x:c>
    </x:row>
    <x:row r="39" ht="30" customHeight="1">
      <x:c r="A39" s="4" t="n">
        <x:v>40</x:v>
      </x:c>
      <x:c r="B39" s="4" t="inlineStr">
        <x:is>
          <x:t xml:space="preserve">第11列 LA/PCR反应液</x:t>
        </x:is>
      </x:c>
      <x:c r="C39" s="4" t="inlineStr">
        <x:is>
          <x:t xml:space="preserve">混合管总量</x:t>
        </x:is>
      </x:c>
      <x:c r="D39" s="27" t="n">
        <x:v>1730</x:v>
      </x:c>
      <x:c r="E39" s="4" t="inlineStr">
        <x:is>
          <x:t xml:space="preserve">直接分装：30 × N + 30；POS7/P8：sum(活跃列数 × 30 + 20) + 30 + 2 × max(POS7单孔体积)；总量&gt;1421 µL时C2R3只配置T7+T8。</x:t>
        </x:is>
      </x:c>
    </x:row>
    <x:row r="40" ht="15" customHeight="1">
      <x:c r="A40" s="4" t="n">
        <x:v>40</x:v>
      </x:c>
      <x:c r="B40" s="4" t="inlineStr">
        <x:is>
          <x:t xml:space="preserve">T2缓冲液共用来源</x:t>
        </x:is>
      </x:c>
      <x:c r="C40" s="4" t="inlineStr">
        <x:is>
          <x:t xml:space="preserve">TA T2组分</x:t>
        </x:is>
      </x:c>
      <x:c r="D40" s="27" t="n">
        <x:v>455</x:v>
      </x:c>
      <x:c r="E40" s="4" t="inlineStr">
        <x:is>
          <x:t xml:space="preserve">第10列反应液总量 × 7/15。</x:t>
        </x:is>
      </x:c>
    </x:row>
    <x:row r="41" ht="15" customHeight="1">
      <x:c r="A41" s="4" t="n">
        <x:v>40</x:v>
      </x:c>
      <x:c r="B41" s="4" t="inlineStr">
        <x:is>
          <x:t xml:space="preserve">T2缓冲液共用来源</x:t>
        </x:is>
      </x:c>
      <x:c r="C41" s="4" t="inlineStr">
        <x:is>
          <x:t xml:space="preserve">POS7 Col7 T2中转量</x:t>
        </x:is>
      </x:c>
      <x:c r="D41" s="27" t="n">
        <x:v>2688</x:v>
      </x:c>
      <x:c r="E41" s="4" t="inlineStr">
        <x:is>
          <x:t xml:space="preserve">代码模式：48 × 1.4 × N。</x:t>
        </x:is>
      </x:c>
    </x:row>
    <x:row r="42" ht="15" customHeight="1">
      <x:c r="A42" s="4" t="n">
        <x:v>40</x:v>
      </x:c>
      <x:c r="B42" s="4" t="inlineStr">
        <x:is>
          <x:t xml:space="preserve">T2缓冲液共用来源</x:t>
        </x:is>
      </x:c>
      <x:c r="C42" s="4" t="inlineStr">
        <x:is>
          <x:t xml:space="preserve">LA/PCR T2组分</x:t>
        </x:is>
      </x:c>
      <x:c r="D42" s="27" t="n">
        <x:v>519</x:v>
      </x:c>
      <x:c r="E42" s="4" t="inlineStr">
        <x:is>
          <x:t xml:space="preserve">第11列反应液总量 × 9/30；总量&gt;1421 µL时T2直接加入POS7 Col11。</x:t>
        </x:is>
      </x:c>
    </x:row>
    <x:row r="43" ht="15" customHeight="1">
      <x:c r="A43" s="4" t="n">
        <x:v>40</x:v>
      </x:c>
      <x:c r="B43" s="4" t="str">
        <x:v>E25 Qubit染液</x:v>
      </x:c>
      <x:c r="C43" s="4" t="inlineStr">
        <x:is>
          <x:t xml:space="preserve">POS4 C1R1分装量</x:t>
        </x:is>
      </x:c>
      <x:c r="D43" s="27" t="str">
        <x:v>不适用</x:v>
      </x:c>
      <x:c r="E43" s="4" t="str">
        <x:v>E25全流程最大32例。</x:v>
      </x:c>
    </x:row>
    <x:row r="44" ht="15" customHeight="1">
      <x:c r="A44" s="4" t="n">
        <x:v>48</x:v>
      </x:c>
      <x:c r="B44" s="4" t="inlineStr">
        <x:is>
          <x:t xml:space="preserve">分支规则</x:t>
        </x:is>
      </x:c>
      <x:c r="C44" s="4" t="inlineStr">
        <x:is>
          <x:t xml:space="preserve">第9/10/11列反应液</x:t>
        </x:is>
      </x:c>
      <x:c r="D44" s="27" t="inlineStr">
        <x:is>
          <x:t xml:space="preserve">POS7/P8中转</x:t>
        </x:is>
      </x:c>
      <x:c r="E44" s="4" t="inlineStr">
        <x:is>
          <x:t xml:space="preserve">样本数≤16使用P1直接分装；样本数&gt;16使用POS7/P8中转。</x:t>
        </x:is>
      </x:c>
    </x:row>
    <x:row r="45" ht="15" customHeight="1">
      <x:c r="A45" s="4" t="n">
        <x:v>48</x:v>
      </x:c>
      <x:c r="B45" s="4" t="inlineStr">
        <x:is>
          <x:t xml:space="preserve">第9列 cDNA反应液</x:t>
        </x:is>
      </x:c>
      <x:c r="C45" s="4" t="inlineStr">
        <x:is>
          <x:t xml:space="preserve">混合管总量</x:t>
        </x:is>
      </x:c>
      <x:c r="D45" s="27" t="n">
        <x:v>455</x:v>
      </x:c>
      <x:c r="E45" s="4" t="inlineStr">
        <x:is>
          <x:t xml:space="preserve">直接分装：4 × N + 15；POS7/P8：sum(活跃列数 × 4 + 20) + 15 + 2 × max(POS7单孔体积)。</x:t>
        </x:is>
      </x:c>
    </x:row>
    <x:row r="46" ht="15" customHeight="1">
      <x:c r="A46" s="4" t="n">
        <x:v>48</x:v>
      </x:c>
      <x:c r="B46" s="4" t="inlineStr">
        <x:is>
          <x:t xml:space="preserve">第10列 TA反应液</x:t>
        </x:is>
      </x:c>
      <x:c r="C46" s="4" t="inlineStr">
        <x:is>
          <x:t xml:space="preserve">混合管总量</x:t>
        </x:is>
      </x:c>
      <x:c r="D46" s="27" t="n">
        <x:v>1125</x:v>
      </x:c>
      <x:c r="E46" s="4" t="inlineStr">
        <x:is>
          <x:t xml:space="preserve">直接分装：15 × N + 25；POS7/P8：sum(活跃列数 × 15 + 20) + 25 + 2 × max(POS7单孔体积)。</x:t>
        </x:is>
      </x:c>
    </x:row>
    <x:row r="47" ht="30" customHeight="1">
      <x:c r="A47" s="4" t="n">
        <x:v>48</x:v>
      </x:c>
      <x:c r="B47" s="4" t="inlineStr">
        <x:is>
          <x:t xml:space="preserve">第11列 LA/PCR反应液</x:t>
        </x:is>
      </x:c>
      <x:c r="C47" s="4" t="inlineStr">
        <x:is>
          <x:t xml:space="preserve">混合管总量</x:t>
        </x:is>
      </x:c>
      <x:c r="D47" s="27" t="n">
        <x:v>2030</x:v>
      </x:c>
      <x:c r="E47" s="4" t="inlineStr">
        <x:is>
          <x:t xml:space="preserve">直接分装：30 × N + 30；POS7/P8：sum(活跃列数 × 30 + 20) + 30 + 2 × max(POS7单孔体积)；总量&gt;1421 µL时C2R3只配置T7+T8。</x:t>
        </x:is>
      </x:c>
    </x:row>
    <x:row r="48" ht="15" customHeight="1">
      <x:c r="A48" s="4" t="n">
        <x:v>48</x:v>
      </x:c>
      <x:c r="B48" s="4" t="inlineStr">
        <x:is>
          <x:t xml:space="preserve">T2缓冲液共用来源</x:t>
        </x:is>
      </x:c>
      <x:c r="C48" s="4" t="inlineStr">
        <x:is>
          <x:t xml:space="preserve">TA T2组分</x:t>
        </x:is>
      </x:c>
      <x:c r="D48" s="27" t="n">
        <x:v>525</x:v>
      </x:c>
      <x:c r="E48" s="4" t="inlineStr">
        <x:is>
          <x:t xml:space="preserve">第10列反应液总量 × 7/15。</x:t>
        </x:is>
      </x:c>
    </x:row>
    <x:row r="49" ht="15" customHeight="1">
      <x:c r="A49" s="4" t="n">
        <x:v>48</x:v>
      </x:c>
      <x:c r="B49" s="4" t="inlineStr">
        <x:is>
          <x:t xml:space="preserve">T2缓冲液共用来源</x:t>
        </x:is>
      </x:c>
      <x:c r="C49" s="4" t="inlineStr">
        <x:is>
          <x:t xml:space="preserve">POS7 Col7 T2中转量</x:t>
        </x:is>
      </x:c>
      <x:c r="D49" s="27" t="n">
        <x:v>3225.6</x:v>
      </x:c>
      <x:c r="E49" s="4" t="inlineStr">
        <x:is>
          <x:t xml:space="preserve">代码模式：48 × 1.4 × N。</x:t>
        </x:is>
      </x:c>
    </x:row>
    <x:row r="50" ht="15" customHeight="1">
      <x:c r="A50" s="4" t="n">
        <x:v>48</x:v>
      </x:c>
      <x:c r="B50" s="4" t="inlineStr">
        <x:is>
          <x:t xml:space="preserve">T2缓冲液共用来源</x:t>
        </x:is>
      </x:c>
      <x:c r="C50" s="4" t="inlineStr">
        <x:is>
          <x:t xml:space="preserve">LA/PCR T2组分</x:t>
        </x:is>
      </x:c>
      <x:c r="D50" s="27" t="n">
        <x:v>609</x:v>
      </x:c>
      <x:c r="E50" s="4" t="inlineStr">
        <x:is>
          <x:t xml:space="preserve">第11列反应液总量 × 9/30；总量&gt;1421 µL时T2直接加入POS7 Col11。</x:t>
        </x:is>
      </x:c>
    </x:row>
    <x:row r="51" ht="15" customHeight="1">
      <x:c r="A51" s="4" t="n">
        <x:v>48</x:v>
      </x:c>
      <x:c r="B51" s="4" t="str">
        <x:v>E25 Qubit染液</x:v>
      </x:c>
      <x:c r="C51" s="4" t="inlineStr">
        <x:is>
          <x:t xml:space="preserve">POS4 C1R1分装量</x:t>
        </x:is>
      </x:c>
      <x:c r="D51" s="27" t="str">
        <x:v>不适用</x:v>
      </x:c>
      <x:c r="E51" s="4" t="str">
        <x:v>E25全流程最大32例。</x:v>
      </x:c>
    </x:row>
    <x:row r="52" ht="35.75" customHeight="1">
      <x:c r="A52" t="n">
        <x:v>8</x:v>
      </x:c>
      <x:c r="B52" t="inlineStr">
        <x:is>
          <x:t xml:space="preserve">提取产物均一化</x:t>
        </x:is>
      </x:c>
      <x:c r="C52" t="str">
        <x:v>无核酸酶水分装量（含冗余）</x:v>
      </x:c>
      <x:c r="D52" s="28" t="n">
        <x:f>CEILING(A52*27+320,10)</x:f>
        <x:v>540</x:v>
      </x:c>
      <x:c r="E52" t="str">
        <x:v>单样本最大补水27 µL，加320 µL来源死体积，向上取10 µL。</x:v>
      </x:c>
    </x:row>
    <x:row r="53" ht="71" customHeight="1">
      <x:c r="A53" t="n">
        <x:v>16</x:v>
      </x:c>
      <x:c r="B53" t="inlineStr">
        <x:is>
          <x:t xml:space="preserve">提取产物均一化</x:t>
        </x:is>
      </x:c>
      <x:c r="C53" t="str">
        <x:v>无核酸酶水分装量（含冗余）</x:v>
      </x:c>
      <x:c r="D53" s="28" t="n">
        <x:f>CEILING(A53*27+320,10)</x:f>
        <x:v>760</x:v>
      </x:c>
      <x:c r="E53" t="str">
        <x:v>单样本最大补水27 µL，加320 µL来源死体积，向上取10 µL。</x:v>
      </x:c>
    </x:row>
    <x:row r="54" ht="71" customHeight="1">
      <x:c r="A54" t="n">
        <x:v>24</x:v>
      </x:c>
      <x:c r="B54" t="inlineStr">
        <x:is>
          <x:t xml:space="preserve">提取产物均一化</x:t>
        </x:is>
      </x:c>
      <x:c r="C54" t="str">
        <x:v>无核酸酶水分装量（含冗余）</x:v>
      </x:c>
      <x:c r="D54" s="28" t="n">
        <x:f>CEILING(A54*27+320,10)</x:f>
        <x:v>970</x:v>
      </x:c>
      <x:c r="E54" t="str">
        <x:v>单样本最大补水27 µL，加320 µL来源死体积，向上取10 µL。</x:v>
      </x:c>
    </x:row>
    <x:row r="55" ht="106.75" customHeight="1">
      <x:c r="A55" t="n">
        <x:v>32</x:v>
      </x:c>
      <x:c r="B55" t="inlineStr">
        <x:is>
          <x:t xml:space="preserve">提取产物均一化</x:t>
        </x:is>
      </x:c>
      <x:c r="C55" t="str">
        <x:v>无核酸酶水分装量（含冗余）</x:v>
      </x:c>
      <x:c r="D55" s="28" t="n">
        <x:f>CEILING(A55*27+320,10)</x:f>
        <x:v>1190</x:v>
      </x:c>
      <x:c r="E55" t="str">
        <x:v>单样本最大补水27 µL，加320 µL来源死体积，向上取10 µL。</x:v>
      </x:c>
    </x:row>
    <x:row r="56" ht="106.75" customHeight="1">
      <x:c r="A56" t="n">
        <x:v>40</x:v>
      </x:c>
      <x:c r="B56" t="inlineStr">
        <x:is>
          <x:t xml:space="preserve">提取产物均一化</x:t>
        </x:is>
      </x:c>
      <x:c r="C56" t="str">
        <x:v>无核酸酶水分装量（含冗余）</x:v>
      </x:c>
      <x:c r="D56" s="28" t="str">
        <x:v>不适用</x:v>
      </x:c>
      <x:c r="E56" t="str">
        <x:v>E25全流程最大32例。</x:v>
      </x:c>
    </x:row>
    <x:row r="57" ht="106.75" customHeight="1">
      <x:c r="A57" t="n">
        <x:v>48</x:v>
      </x:c>
      <x:c r="B57" t="inlineStr">
        <x:is>
          <x:t xml:space="preserve">提取产物均一化</x:t>
        </x:is>
      </x:c>
      <x:c r="C57" t="str">
        <x:v>无核酸酶水分装量（含冗余）</x:v>
      </x:c>
      <x:c r="D57" s="28" t="str">
        <x:v>不适用</x:v>
      </x:c>
      <x:c r="E57" t="str">
        <x:v>E25全流程最大32例。</x:v>
      </x:c>
    </x:row>
    <x:row r="58" ht="35.75" customHeight="1">
      <x:c r="A58" t="n">
        <x:v>8</x:v>
      </x:c>
      <x:c r="B58" t="inlineStr">
        <x:is>
          <x:t xml:space="preserve">G99 pooling T2预算</x:t>
        </x:is>
      </x:c>
      <x:c r="C58" t="inlineStr">
        <x:is>
          <x:t xml:space="preserve">50%样本8倍预稀释 + 动态补液上限</x:t>
        </x:is>
      </x:c>
      <x:c r="D58" t="n">
        <x:v>472</x:v>
      </x:c>
      <x:c r="E58" t="inlineStr">
        <x:is>
          <x:t xml:space="preserve">14 × 4 + (384 - 2 × 8) + 48 = 472；包含一半样本预稀释、pooling管补液上限及DNB孔补液上限。</x:t>
        </x:is>
      </x:c>
    </x:row>
    <x:row r="59" ht="35.75" customHeight="1">
      <x:c r="A59" t="n">
        <x:v>16</x:v>
      </x:c>
      <x:c r="B59" t="inlineStr">
        <x:is>
          <x:t xml:space="preserve">G99 pooling T2预算</x:t>
        </x:is>
      </x:c>
      <x:c r="C59" t="inlineStr">
        <x:is>
          <x:t xml:space="preserve">50%样本8倍预稀释 + 动态补液上限</x:t>
        </x:is>
      </x:c>
      <x:c r="D59" t="n">
        <x:v>512</x:v>
      </x:c>
      <x:c r="E59" t="inlineStr">
        <x:is>
          <x:t xml:space="preserve">14 × 8 + (384 - 2 × 16) + 48 = 512；包含一半样本预稀释、pooling管补液上限及DNB孔补液上限。</x:t>
        </x:is>
      </x:c>
    </x:row>
    <x:row r="60" ht="35.75" customHeight="1">
      <x:c r="A60" t="n">
        <x:v>24</x:v>
      </x:c>
      <x:c r="B60" t="inlineStr">
        <x:is>
          <x:t xml:space="preserve">G99 pooling T2预算</x:t>
        </x:is>
      </x:c>
      <x:c r="C60" t="inlineStr">
        <x:is>
          <x:t xml:space="preserve">50%样本8倍预稀释 + 动态补液上限</x:t>
        </x:is>
      </x:c>
      <x:c r="D60" t="n">
        <x:v>552</x:v>
      </x:c>
      <x:c r="E60" t="inlineStr">
        <x:is>
          <x:t xml:space="preserve">14 × 12 + (384 - 2 × 24) + 48 = 552；包含一半样本预稀释、pooling管补液上限及DNB孔补液上限。</x:t>
        </x:is>
      </x:c>
    </x:row>
    <x:row r="61" ht="35.75" customHeight="1">
      <x:c r="A61" t="n">
        <x:v>32</x:v>
      </x:c>
      <x:c r="B61" t="inlineStr">
        <x:is>
          <x:t xml:space="preserve">G99 pooling T2预算</x:t>
        </x:is>
      </x:c>
      <x:c r="C61" t="inlineStr">
        <x:is>
          <x:t xml:space="preserve">50%样本8倍预稀释 + 动态补液上限</x:t>
        </x:is>
      </x:c>
      <x:c r="D61" t="n">
        <x:v>592</x:v>
      </x:c>
      <x:c r="E61" t="inlineStr">
        <x:is>
          <x:t xml:space="preserve">14 × 16 + (384 - 2 × 32) + 48 = 592；包含一半样本预稀释、pooling管补液上限及DNB孔补液上限。</x:t>
        </x:is>
      </x:c>
    </x:row>
    <x:row r="62" ht="35.75" customHeight="1">
      <x:c r="A62" t="n">
        <x:v>40</x:v>
      </x:c>
      <x:c r="B62" t="inlineStr">
        <x:is>
          <x:t xml:space="preserve">G99 pooling T2预算</x:t>
        </x:is>
      </x:c>
      <x:c r="C62" t="inlineStr">
        <x:is>
          <x:t xml:space="preserve">50%样本8倍预稀释 + 动态补液上限</x:t>
        </x:is>
      </x:c>
      <x:c r="D62" t="n">
        <x:v>632</x:v>
      </x:c>
      <x:c r="E62" t="inlineStr">
        <x:is>
          <x:t xml:space="preserve">14 × 20 + (384 - 2 × 40) + 48 = 632；包含一半样本预稀释、pooling管补液上限及DNB孔补液上限。</x:t>
        </x:is>
      </x:c>
    </x:row>
    <x:row r="63" ht="71" customHeight="1">
      <x:c r="A63" t="n">
        <x:v>48</x:v>
      </x:c>
      <x:c r="B63" t="inlineStr">
        <x:is>
          <x:t xml:space="preserve">G99 pooling T2预算</x:t>
        </x:is>
      </x:c>
      <x:c r="C63" t="inlineStr">
        <x:is>
          <x:t xml:space="preserve">50%样本8倍预稀释 + 动态补液上限</x:t>
        </x:is>
      </x:c>
      <x:c r="D63" t="n">
        <x:v>672</x:v>
      </x:c>
      <x:c r="E63" t="inlineStr">
        <x:is>
          <x:t xml:space="preserve">14 × 24 + (384 - 2 × 48) + 48 = 672；包含一半样本预稀释、pooling管补液上限及DNB孔补液上限。</x:t>
        </x:is>
      </x:c>
    </x:row>
    <x:row r="64" ht="35.75" customHeight="1">
      <x:c r="A64" t="n">
        <x:v>8</x:v>
      </x:c>
      <x:c r="B64" t="str">
        <x:v>E25 pooling T2预算</x:v>
      </x:c>
      <x:c r="C64" t="str">
        <x:v>非空白文库全8倍稀释及动态补液</x:v>
      </x:c>
      <x:c r="D64" t="n">
        <x:f>35*(A64-1)+(160-2*A64)+18</x:f>
        <x:v>407</x:v>
      </x:c>
      <x:c r="E64" t="str">
        <x:v>35 × (N−1) + (160−2×N) + 18；1个DNB，全部文库参与pooling；不含建库消耗和320 µL来源冗余。</x:v>
      </x:c>
    </x:row>
    <x:row r="65" ht="35.75" customHeight="1">
      <x:c r="A65" t="n">
        <x:v>16</x:v>
      </x:c>
      <x:c r="B65" t="str">
        <x:v>E25 pooling T2预算</x:v>
      </x:c>
      <x:c r="C65" t="str">
        <x:v>非空白文库全8倍稀释及动态补液</x:v>
      </x:c>
      <x:c r="D65" t="n">
        <x:f>35*(A65-1)+(160-2*A65)+18</x:f>
        <x:v>671</x:v>
      </x:c>
      <x:c r="E65" t="str">
        <x:v>35 × (N−1) + (160−2×N) + 18；1个DNB，全部文库参与pooling；不含建库消耗和320 µL来源冗余。</x:v>
      </x:c>
    </x:row>
    <x:row r="66" ht="35.75" customHeight="1">
      <x:c r="A66" t="n">
        <x:v>24</x:v>
      </x:c>
      <x:c r="B66" t="str">
        <x:v>E25 pooling T2预算</x:v>
      </x:c>
      <x:c r="C66" t="str">
        <x:v>非空白文库全8倍稀释及动态补液</x:v>
      </x:c>
      <x:c r="D66" t="n">
        <x:f>35*(A66-1)+(160-2*A66)+18</x:f>
        <x:v>935</x:v>
      </x:c>
      <x:c r="E66" t="str">
        <x:v>35 × (N−1) + (160−2×N) + 18；1个DNB，全部文库参与pooling；不含建库消耗和320 µL来源冗余。</x:v>
      </x:c>
    </x:row>
    <x:row r="67" ht="35.75" customHeight="1">
      <x:c r="A67" t="n">
        <x:v>32</x:v>
      </x:c>
      <x:c r="B67" t="str">
        <x:v>E25 pooling T2预算</x:v>
      </x:c>
      <x:c r="C67" t="str">
        <x:v>非空白文库全8倍稀释及动态补液</x:v>
      </x:c>
      <x:c r="D67" t="n">
        <x:f>35*(A67-1)+(160-2*A67)+18</x:f>
        <x:v>1199</x:v>
      </x:c>
      <x:c r="E67" t="str">
        <x:v>35 × (N−1) + (160−2×N) + 18；1个DNB，全部文库参与pooling；不含建库消耗和320 µL来源冗余。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2.33203125" customWidth="1"/>
    <x:col min="2" max="2" width="143.5" customWidth="1"/>
  </x:cols>
  <x:sheetData>
    <x:row r="1" ht="15" customHeight="1">
      <x:c r="A1" s="1" t="inlineStr">
        <x:is>
          <x:t xml:space="preserve">PTseq 说明与验证记录</x:t>
        </x:is>
      </x:c>
      <x:c r="B1" s="2" t="n"/>
    </x:row>
    <x:row r="2">
      <x:c r="A2" s="2" t="n"/>
      <x:c r="B2" s="2" t="n"/>
    </x:row>
    <x:row r="3" ht="15" customHeight="1">
      <x:c r="A3" s="4" t="inlineStr">
        <x:is>
          <x:t xml:space="preserve">项目</x:t>
        </x:is>
      </x:c>
      <x:c r="B3" s="4" t="inlineStr">
        <x:is>
          <x:t xml:space="preserve">说明</x:t>
        </x:is>
      </x:c>
    </x:row>
    <x:row r="4" ht="85" customHeight="1">
      <x:c r="A4" s="4" t="inlineStr">
        <x:is>
          <x:t xml:space="preserve">范围</x:t>
        </x:is>
      </x:c>
      <x:c r="B4" s="46" t="str">
        <x:v>分装量、试剂名称、耗材和适用流程以当前SOP表9及表10-1/10-2/10-3为准；表内体积统一为µL（SOP中的mL已换算）。代码消耗及计算明细保留理论消耗和预算含义，不作为替代分装指令。</x:v>
      </x:c>
    </x:row>
    <x:row r="5" ht="15" customHeight="1">
      <x:c r="A5" s="4" t="inlineStr">
        <x:is>
          <x:t xml:space="preserve">分支规则</x:t>
        </x:is>
      </x:c>
      <x:c r="B5" s="46" t="inlineStr">
        <x:is>
          <x:t xml:space="preserve">样本数≤16时，第9/10/11列反应液使用低通量P1直接分装；样本数&gt;16时使用POS7/P8中转。</x:t>
        </x:is>
      </x:c>
    </x:row>
    <x:row r="6" ht="85" customHeight="1">
      <x:c r="A6" s="4" t="inlineStr">
        <x:is>
          <x:t xml:space="preserve">来源死体积规则</x:t>
        </x:is>
      </x:c>
      <x:c r="B6" s="46" t="str">
        <x:v>来源冗余为计算下限，实际分装量以SOP取整后的数值为准：T1 +10 µL；T2/T3一链试剂 +6 µL；T4/T5 +10 µL；T7 +15 µL；8 mL管通常 +320 µL，磁珠 +400 µL；乙醇 +3200 µL，Qubit +6510 µL。</x:v>
      </x:c>
    </x:row>
    <x:row r="7" ht="15" customHeight="1">
      <x:c r="A7" s="4" t="inlineStr">
        <x:is>
          <x:t xml:space="preserve">POS7封顶曲线</x:t>
        </x:is>
      </x:c>
      <x:c r="B7" s="46" t="inlineStr">
        <x:is>
          <x:t xml:space="preserve">POS7反应液中转孔仍按：活跃下游列数 × 单次吸取体积 + 20 µL总冗余；样本数&gt;16时，上游mixing tube另增加2个完整POS7中转孔的体积。</x:t>
        </x:is>
      </x:c>
    </x:row>
    <x:row r="8" ht="15" customHeight="1">
      <x:c r="A8" s="4" t="inlineStr">
        <x:is>
          <x:t xml:space="preserve">混合管死体积</x:t>
        </x:is>
      </x:c>
      <x:c r="B8" s="46" t="inlineStr">
        <x:is>
          <x:t xml:space="preserve">POS17 Col4 Row1 cDNA混合管基础死体积15 µL；POS17 Col4 Row2 TA混合管25 µL；POS17 C2R3 LA/PCR混合管30 µL。样本数&gt;16时三者另加2个完整POS7中转孔上游冗余。</x:t>
        </x:is>
      </x:c>
    </x:row>
    <x:row r="9" ht="85" customHeight="1">
      <x:c r="A9" s="4" t="inlineStr">
        <x:is>
          <x:t xml:space="preserve">T2缓冲液共用来源</x:t>
        </x:is>
      </x:c>
      <x:c r="B9" s="46" t="str">
        <x:v>POS24 C1R2合并建库阶段TA、POS7 Col7中转和LA/PCR的T2消耗。其他路线保留原G99 pooling预算；E25全流程按N−1个非空白文库全8倍稀释、1个DNB计入35 µL/孔和动态补液上限。分装2100/3000/4200/5000 µL：各档计算预算先计入320 µL来源冗余，向上取整到100 µL，再统一增加600 µL额外备液。提取均一化无核酸酶水为独立来源，不计入T2。 上机前准备流程按SOP表10各配T2溶解液6000 µL；8 mL管用后回收，须盖黑色胶塞，全流程不重复加配。</x:v>
      </x:c>
    </x:row>
    <x:row r="10" ht="85" customHeight="1">
      <x:c r="A10" s="4" t="inlineStr">
        <x:is>
          <x:t xml:space="preserve">乙醇</x:t>
        </x:is>
      </x:c>
      <x:c r="B10" s="46" t="str">
        <x:v>POS3乙醇分装按195 × 5 × N + 3200 µL，向上取1000 µL；8/16/24/32/40/48例为11000/19000/27000/35000/43000/50000 µL，与SOP表9一致。</x:v>
      </x:c>
    </x:row>
    <x:row r="11" ht="85" customHeight="1">
      <x:c r="A11" s="4" t="inlineStr">
        <x:is>
          <x:t xml:space="preserve">Qubit染液</x:t>
        </x:is>
      </x:c>
      <x:c r="B11" s="46" t="str">
        <x:v>按SOP表9：G99、200、2000全流程，前处理建库为9000/10000/12000/14000/16000/17000 µL；E25全流程，前处理建库为10000/14000/17000/21000 µL（最多32例）。单轮/两轮用量分别加6510 µL，向上取1000 µL。</x:v>
      </x:c>
    </x:row>
    <x:row r="12" ht="15" customHeight="1">
      <x:c r="A12" s="4" t="inlineStr">
        <x:is>
          <x:t xml:space="preserve">更新记录</x:t>
        </x:is>
      </x:c>
      <x:c r="B12" s="4" t="inlineStr">
        <x:is>
          <x:t xml:space="preserve">2026-06-18：同步最新代码的POS7总冗余逻辑，并将TA/LA POS17 mixing tube冗余由15 µL调整为25 µL。</x:t>
        </x:is>
      </x:c>
    </x:row>
    <x:row r="13">
      <x:c r="A13" t="inlineStr">
        <x:is>
          <x:t xml:space="preserve">更新记录</x:t>
        </x:is>
      </x:c>
      <x:c r="B13" t="inlineStr">
        <x:is>
          <x:t xml:space="preserve">2026-06-29：LA/PCR Master Mix迁移至POS17 C2R3 2 mL T8管；T8按1/30手工预置，不再加源管冗余；LA mixing tube冗余调整为30 µL。</x:t>
        </x:is>
      </x:c>
    </x:row>
    <x:row r="14">
      <x:c r="A14" t="inlineStr">
        <x:is>
          <x:t xml:space="preserve">更新记录</x:t>
        </x:is>
      </x:c>
      <x:c r="B14" t="inlineStr">
        <x:is>
          <x:t xml:space="preserve">2026-06-29：T4 TA缓冲液、T5 TA酶源管死体积由 +6 µL 调整为 +10 µL（其余0.5 mL管仍 +6 µL）；仅改手工分装量，机器吸取量不变。</x:t>
        </x:is>
      </x:c>
    </x:row>
    <x:row r="15">
      <x:c r="A15" t="inlineStr">
        <x:is>
          <x:t xml:space="preserve">更新记录</x:t>
        </x:is>
      </x:c>
      <x:c r="B15" t="inlineStr">
        <x:is>
          <x:t xml:space="preserve">2026-07-10：样本数&gt;16时，POS7 Col9/10/11普通反应液中转孔的单孔总冗余由10 µL提高至20 µL；POS17 mixing tube冗余及样本数≤16的P1直接分装逻辑不变。</x:t>
        </x:is>
      </x:c>
    </x:row>
    <x:row r="16" ht="85" customHeight="1">
      <x:c r="A16" t="inlineStr">
        <x:is>
          <x:t xml:space="preserve">提取产物均一化</x:t>
        </x:is>
      </x:c>
      <x:c r="B16" t="str">
        <x:v>E25全流程提取回收45 µL；取2.2 µL在POS14 Col7-10定量。目标20 ng/µL、30 µL；原始浓度低于20 ng/µL时不补水，直接转移30 µL。</x:v>
      </x:c>
    </x:row>
    <x:row r="17" ht="85" customHeight="1">
      <x:c r="A17" t="inlineStr">
        <x:is>
          <x:t xml:space="preserve">均一化范围</x:t>
        </x:is>
      </x:c>
      <x:c r="B17" t="inlineStr">
        <x:is>
          <x:t xml:space="preserve">20-200 ng/µL按样本体积600/C、补水体积30-600/C执行；C≤0或C&gt;200 ng/µL时在移液前停止。</x:t>
        </x:is>
      </x:c>
    </x:row>
    <x:row r="18" ht="85" customHeight="1">
      <x:c r="A18" t="inlineStr">
        <x:is>
          <x:t xml:space="preserve">板位与枪头</x:t>
        </x:is>
      </x:c>
      <x:c r="B18" t="str">
        <x:v>POS8 Col1-4为提取原液，Col5-8为均一化产物，Col9-12为pooling预稀释；POS14 Col7-10为提取定量管，Col1-4保留最终文库定量；POS30保持为空置中转位。</x:v>
      </x:c>
    </x:row>
    <x:row r="19">
      <x:c r="A19" t="inlineStr">
        <x:is>
          <x:t xml:space="preserve">输出表格</x:t>
        </x:is>
      </x:c>
      <x:c r="B19" t="inlineStr">
        <x:is>
          <x:t xml:space="preserve">D:\data\PTseq_Extraction.xlsx记录提取浓度；D:\data\PTseq_normalization_info.csv记录每个样本的取样和补水体积。</x:t>
        </x:is>
      </x:c>
    </x:row>
    <x:row r="20">
      <x:c r="A20" t="inlineStr">
        <x:is>
          <x:t xml:space="preserve">更新记录</x:t>
        </x:is>
      </x:c>
      <x:c r="B20" t="inlineStr">
        <x:is>
          <x:t xml:space="preserve">2026-07-20：新增提取产物定量和20 ng/µL均一化；Qubit工作液按两轮定量计算，并增加均一化无核酸水最坏情况装量。</x:t>
        </x:is>
      </x:c>
    </x:row>
    <x:row r="21">
      <x:c r="A21" t="inlineStr">
        <x:is>
          <x:t xml:space="preserve">更新记录</x:t>
        </x:is>
      </x:c>
      <x:c r="B21" t="inlineStr">
        <x:is>
          <x:t xml:space="preserve">2026-07-22：样本数&gt;16时，cDNA、TA、LA上游mixing tube增加2个完整POS7中转孔冗余；LA总量&gt;1421 µL时C2R3仅配置T7+T8，T2直接加入POS7 Col11并执行枪混和双向震荡。</x:t>
        </x:is>
      </x:c>
    </x:row>
    <x:row r="22">
      <x:c r="A22" t="inlineStr">
        <x:is>
          <x:t xml:space="preserve">更新记录</x:t>
        </x:is>
      </x:c>
      <x:c r="B22" t="inlineStr">
        <x:is>
          <x:t xml:space="preserve">2026-08-08：T2缓冲液分装增加G99 pooling预算，假设每批50%样本需要8倍预稀释，并覆盖动态补液上限。</x:t>
        </x:is>
      </x:c>
    </x:row>
    <x:row r="23">
      <x:c r="A23" t="inlineStr">
        <x:is>
          <x:t xml:space="preserve">更新记录</x:t>
        </x:is>
      </x:c>
      <x:c r="B23" t="inlineStr">
        <x:is>
          <x:t xml:space="preserve">2026-08-12：新增T12空白对照动态分装。B为PTseq.csv中QcType=B的空白对照数；机器按每个空白孔加入14 µL，手工分装量为14 × B + 6 µL来源管死体积。</x:t>
        </x:is>
      </x:c>
    </x:row>
    <x:row r="24">
      <x:c r="A24" t="inlineStr">
        <x:is>
          <x:t xml:space="preserve">更新记录</x:t>
        </x:is>
      </x:c>
      <x:c r="B24" t="inlineStr">
        <x:is>
          <x:t xml:space="preserve">2026-08-19：T4 TA缓冲液耗材按main的deck.json更正为2 mL管（原记0.5 mL冻存管有误）。</x:t>
        </x:is>
      </x:c>
    </x:row>
    <x:row r="25">
      <x:c r="A25" t="inlineStr">
        <x:is>
          <x:t xml:space="preserve">更新记录</x:t>
        </x:is>
      </x:c>
      <x:c r="B25" t="inlineStr">
        <x:is>
          <x:t xml:space="preserve">2026-08-19：Qubit染液改为单轮定量（217.8 × N + 6510 µL 试剂槽余量），与SOP表8口径一致；main未实现提取产物均一化，故删除“均一化无核酸水”行。</x:t>
        </x:is>
      </x:c>
    </x:row>
    <x:row r="26">
      <x:c r="A26" t="inlineStr">
        <x:is>
          <x:t xml:space="preserve">更新记录</x:t>
        </x:is>
      </x:c>
      <x:c r="B26" t="inlineStr">
        <x:is>
          <x:t xml:space="preserve">2026-08-19：T12空白对照说明改为按“空白对照数量”表述。</x:t>
        </x:is>
      </x:c>
    </x:row>
    <x:row r="27">
      <x:c r="A27" t="str">
        <x:v>更新记录</x:v>
      </x:c>
      <x:c r="B27" t="str">
        <x:v>2026-08-28：按integration/e25-extraction-normalization更新E25提取产物定量与均一化；Qubit分装按对应定量轮次用量加6510 µL试剂槽管底冗余并向上取1000 µL；无核酸酶水使用POS24 A2 8 mL管，按27 × N + 320 µL并向上取10 µL；POS30保持为空置中转位。</x:v>
      </x:c>
    </x:row>
    <x:row r="28">
      <x:c r="A28" t="str">
        <x:v>更新记录</x:v>
      </x:c>
      <x:c r="B28" t="str">
        <x:v>2026-09-08：T1冗余调整为10 µL并统一取整；修正E25及200/2000 DNB酶分装量；增加E25全流程T2专用装量，32例为5000 µL；校正32例LA直接分装T2代码消耗为336 µL。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8" customWidth="1"/>
    <x:col min="3" max="3" width="16" customWidth="1"/>
    <x:col min="4" max="4" width="19" customWidth="1"/>
    <x:col min="5" max="5" width="24" customWidth="1"/>
    <x:col min="6" max="6" width="30" customWidth="1"/>
  </x:cols>
  <x:sheetData>
    <x:row r="1" ht="28" customHeight="1">
      <x:c r="A1" s="29" t="inlineStr">
        <x:is>
          <x:t xml:space="preserve">PTseq 提取产物定量与均一化设计</x:t>
        </x:is>
      </x:c>
      <x:c r="B1" s="30" t="n"/>
      <x:c r="C1" s="30" t="n"/>
      <x:c r="D1" s="30" t="n"/>
      <x:c r="E1" s="30" t="n"/>
      <x:c r="F1" s="30" t="n"/>
    </x:row>
    <x:row r="2">
      <x:c r="A2" s="7" t="n"/>
      <x:c r="B2" s="7" t="n"/>
      <x:c r="C2" s="7" t="n"/>
      <x:c r="D2" s="7" t="n"/>
      <x:c r="E2" s="7" t="n"/>
      <x:c r="F2" s="7" t="n"/>
    </x:row>
    <x:row r="3" ht="15" customHeight="1">
      <x:c r="A3" s="8" t="inlineStr">
        <x:is>
          <x:t xml:space="preserve">参数</x:t>
        </x:is>
      </x:c>
      <x:c r="B3" s="8" t="inlineStr">
        <x:is>
          <x:t xml:space="preserve">设定</x:t>
        </x:is>
      </x:c>
      <x:c r="C3" s="7" t="n"/>
      <x:c r="D3" s="8" t="inlineStr">
        <x:is>
          <x:t xml:space="preserve">浓度区间</x:t>
        </x:is>
      </x:c>
      <x:c r="E3" s="8" t="inlineStr">
        <x:is>
          <x:t xml:space="preserve">样本体积</x:t>
        </x:is>
      </x:c>
      <x:c r="F3" s="8" t="inlineStr">
        <x:is>
          <x:t xml:space="preserve">补水体积/处理</x:t>
        </x:is>
      </x:c>
    </x:row>
    <x:row r="4" ht="15" customHeight="1">
      <x:c r="A4" s="9" t="inlineStr">
        <x:is>
          <x:t xml:space="preserve">提取回收体积</x:t>
        </x:is>
      </x:c>
      <x:c r="B4" s="10" t="inlineStr">
        <x:is>
          <x:t xml:space="preserve">45 µL</x:t>
        </x:is>
      </x:c>
      <x:c r="C4" s="7" t="n"/>
      <x:c r="D4" s="9" t="inlineStr">
        <x:is>
          <x:t xml:space="preserve">C ≤ 0</x:t>
        </x:is>
      </x:c>
      <x:c r="E4" s="11" t="inlineStr">
        <x:is>
          <x:t xml:space="preserve">-</x:t>
        </x:is>
      </x:c>
      <x:c r="F4" s="10" t="inlineStr">
        <x:is>
          <x:t xml:space="preserve">移液前停止</x:t>
        </x:is>
      </x:c>
    </x:row>
    <x:row r="5" ht="15" customHeight="1">
      <x:c r="A5" s="12" t="inlineStr">
        <x:is>
          <x:t xml:space="preserve">提取定量取样</x:t>
        </x:is>
      </x:c>
      <x:c r="B5" s="13" t="inlineStr">
        <x:is>
          <x:t xml:space="preserve">2.2 µL</x:t>
        </x:is>
      </x:c>
      <x:c r="C5" s="7" t="n"/>
      <x:c r="D5" s="12" t="inlineStr">
        <x:is>
          <x:t xml:space="preserve">0 &lt; C &lt; 20</x:t>
        </x:is>
      </x:c>
      <x:c r="E5" s="14" t="inlineStr">
        <x:is>
          <x:t xml:space="preserve">30 µL</x:t>
        </x:is>
      </x:c>
      <x:c r="F5" s="13" t="inlineStr">
        <x:is>
          <x:t xml:space="preserve">0 µL；低于目标但保留</x:t>
        </x:is>
      </x:c>
    </x:row>
    <x:row r="6" ht="15" customHeight="1">
      <x:c r="A6" s="12" t="inlineStr">
        <x:is>
          <x:t xml:space="preserve">Qubit工作液</x:t>
        </x:is>
      </x:c>
      <x:c r="B6" s="13" t="inlineStr">
        <x:is>
          <x:t xml:space="preserve">217.8 µL/样本/轮，共2轮</x:t>
        </x:is>
      </x:c>
      <x:c r="C6" s="7" t="n"/>
      <x:c r="D6" s="12" t="inlineStr">
        <x:is>
          <x:t xml:space="preserve">20 ≤ C ≤ 200</x:t>
        </x:is>
      </x:c>
      <x:c r="E6" s="14" t="inlineStr">
        <x:is>
          <x:t xml:space="preserve">600/C µL</x:t>
        </x:is>
      </x:c>
      <x:c r="F6" s="13" t="inlineStr">
        <x:is>
          <x:t xml:space="preserve">30 - 600/C µL</x:t>
        </x:is>
      </x:c>
    </x:row>
    <x:row r="7" ht="15" customHeight="1">
      <x:c r="A7" s="12" t="inlineStr">
        <x:is>
          <x:t xml:space="preserve">目标浓度</x:t>
        </x:is>
      </x:c>
      <x:c r="B7" s="13" t="inlineStr">
        <x:is>
          <x:t xml:space="preserve">20 ng/µL</x:t>
        </x:is>
      </x:c>
      <x:c r="C7" s="7" t="n"/>
      <x:c r="D7" s="15" t="inlineStr">
        <x:is>
          <x:t xml:space="preserve">C &gt; 200</x:t>
        </x:is>
      </x:c>
      <x:c r="E7" s="16" t="inlineStr">
        <x:is>
          <x:t xml:space="preserve">&lt;3 µL</x:t>
        </x:is>
      </x:c>
      <x:c r="F7" s="17" t="inlineStr">
        <x:is>
          <x:t xml:space="preserve">移液前停止，避免贴近小体积下限</x:t>
        </x:is>
      </x:c>
    </x:row>
    <x:row r="8" ht="15" customHeight="1">
      <x:c r="A8" s="12" t="inlineStr">
        <x:is>
          <x:t xml:space="preserve">目标体积</x:t>
        </x:is>
      </x:c>
      <x:c r="B8" s="13" t="inlineStr">
        <x:is>
          <x:t xml:space="preserve">30 µL</x:t>
        </x:is>
      </x:c>
      <x:c r="C8" s="7" t="n"/>
      <x:c r="D8" s="7" t="n"/>
      <x:c r="E8" s="7" t="n"/>
      <x:c r="F8" s="7" t="n"/>
    </x:row>
    <x:row r="9" ht="15" customHeight="1">
      <x:c r="A9" s="12" t="inlineStr">
        <x:is>
          <x:t xml:space="preserve">建库投入</x:t>
        </x:is>
      </x:c>
      <x:c r="B9" s="13" t="inlineStr">
        <x:is>
          <x:t xml:space="preserve">14 µL</x:t>
        </x:is>
      </x:c>
      <x:c r="C9" s="7" t="n"/>
      <x:c r="D9" s="7" t="n"/>
      <x:c r="E9" s="7" t="n"/>
      <x:c r="F9" s="7" t="n"/>
    </x:row>
    <x:row r="10" ht="15" customHeight="1">
      <x:c r="A10" s="15" t="inlineStr">
        <x:is>
          <x:t xml:space="preserve">直接稀释允许范围</x:t>
        </x:is>
      </x:c>
      <x:c r="B10" s="17" t="inlineStr">
        <x:is>
          <x:t xml:space="preserve">20-200 ng/µL</x:t>
        </x:is>
      </x:c>
      <x:c r="C10" s="7" t="n"/>
      <x:c r="D10" s="7" t="n"/>
      <x:c r="E10" s="7" t="n"/>
      <x:c r="F10" s="7" t="n"/>
    </x:row>
    <x:row r="11">
      <x:c r="A11" s="7" t="n"/>
      <x:c r="B11" s="7" t="n"/>
      <x:c r="C11" s="7" t="n"/>
      <x:c r="D11" s="7" t="n"/>
      <x:c r="E11" s="7" t="n"/>
      <x:c r="F11" s="7" t="n"/>
    </x:row>
    <x:row r="12" ht="15" customHeight="1">
      <x:c r="A12" s="8" t="inlineStr">
        <x:is>
          <x:t xml:space="preserve">板位</x:t>
        </x:is>
      </x:c>
      <x:c r="B12" s="8" t="inlineStr">
        <x:is>
          <x:t xml:space="preserve">用途</x:t>
        </x:is>
      </x:c>
      <x:c r="C12" s="8" t="inlineStr">
        <x:is>
          <x:t xml:space="preserve">范围</x:t>
        </x:is>
      </x:c>
      <x:c r="D12" s="7" t="n"/>
      <x:c r="E12" s="8" t="inlineStr">
        <x:is>
          <x:t xml:space="preserve">输出文件</x:t>
        </x:is>
      </x:c>
      <x:c r="F12" s="8" t="inlineStr">
        <x:is>
          <x:t xml:space="preserve">用途</x:t>
        </x:is>
      </x:c>
    </x:row>
    <x:row r="13" ht="35" customHeight="1">
      <x:c r="A13" s="9" t="inlineStr">
        <x:is>
          <x:t xml:space="preserve">POS8</x:t>
        </x:is>
      </x:c>
      <x:c r="B13" s="11" t="inlineStr">
        <x:is>
          <x:t xml:space="preserve">提取产物原液</x:t>
        </x:is>
      </x:c>
      <x:c r="C13" s="10" t="str">
        <x:v>Col1-4</x:v>
      </x:c>
      <x:c r="D13" s="7" t="n"/>
      <x:c r="E13" s="9" t="inlineStr">
        <x:is>
          <x:t xml:space="preserve">PTseq_Extraction.xlsx</x:t>
        </x:is>
      </x:c>
      <x:c r="F13" s="10" t="inlineStr">
        <x:is>
          <x:t xml:space="preserve">提取浓度</x:t>
        </x:is>
      </x:c>
    </x:row>
    <x:row r="14" ht="35" customHeight="1">
      <x:c r="A14" s="12" t="inlineStr">
        <x:is>
          <x:t xml:space="preserve">POS8</x:t>
        </x:is>
      </x:c>
      <x:c r="B14" s="14" t="inlineStr">
        <x:is>
          <x:t xml:space="preserve">均一化产物</x:t>
        </x:is>
      </x:c>
      <x:c r="C14" s="13" t="str">
        <x:v>Col5-8</x:v>
      </x:c>
      <x:c r="D14" s="7" t="n"/>
      <x:c r="E14" s="12" t="inlineStr">
        <x:is>
          <x:t xml:space="preserve">PTseq_normalization_info.csv</x:t>
        </x:is>
      </x:c>
      <x:c r="F14" s="13" t="inlineStr">
        <x:is>
          <x:t xml:space="preserve">取样/补水/状态</x:t>
        </x:is>
      </x:c>
    </x:row>
    <x:row r="15" ht="35" customHeight="1">
      <x:c r="A15" s="12" t="str">
        <x:v>POS8</x:v>
      </x:c>
      <x:c r="B15" s="14" t="str">
        <x:v>pooling 预稀释</x:v>
      </x:c>
      <x:c r="C15" s="13" t="str">
        <x:v>Col9-12</x:v>
      </x:c>
      <x:c r="D15" s="7" t="n"/>
      <x:c r="E15" s="15" t="inlineStr">
        <x:is>
          <x:t xml:space="preserve">PTseq_Library.xlsx</x:t>
        </x:is>
      </x:c>
      <x:c r="F15" s="17" t="inlineStr">
        <x:is>
          <x:t xml:space="preserve">最终文库浓度</x:t>
        </x:is>
      </x:c>
    </x:row>
    <x:row r="16" ht="35" customHeight="1">
      <x:c r="A16" s="12" t="inlineStr">
        <x:is>
          <x:t xml:space="preserve">POS14</x:t>
        </x:is>
      </x:c>
      <x:c r="B16" s="14" t="inlineStr">
        <x:is>
          <x:t xml:space="preserve">提取产物定量管</x:t>
        </x:is>
      </x:c>
      <x:c r="C16" s="13" t="str">
        <x:v>Col7-10</x:v>
      </x:c>
      <x:c r="D16" s="7" t="n"/>
      <x:c r="E16" s="7" t="n"/>
      <x:c r="F16" s="7" t="n"/>
    </x:row>
    <x:row r="17" ht="35" customHeight="1">
      <x:c r="A17" s="12" t="inlineStr">
        <x:is>
          <x:t xml:space="preserve">POS14</x:t>
        </x:is>
      </x:c>
      <x:c r="B17" s="14" t="inlineStr">
        <x:is>
          <x:t xml:space="preserve">最终文库定量管</x:t>
        </x:is>
      </x:c>
      <x:c r="C17" s="13" t="str">
        <x:v>Col1-4</x:v>
      </x:c>
      <x:c r="D17" s="7" t="n"/>
      <x:c r="E17" s="7" t="n"/>
      <x:c r="F17" s="7" t="n"/>
    </x:row>
    <x:row r="18" ht="35" customHeight="1">
      <x:c r="A18" s="15" t="inlineStr">
        <x:is>
          <x:t xml:space="preserve">POS24 A2</x:t>
        </x:is>
      </x:c>
      <x:c r="B18" s="16" t="inlineStr">
        <x:is>
          <x:t xml:space="preserve">均一化无核酸水</x:t>
        </x:is>
      </x:c>
      <x:c r="C18" s="17" t="str">
        <x:v>8 mL管</x:v>
      </x:c>
      <x:c r="D18" s="7" t="n"/>
      <x:c r="E18" s="7" t="n"/>
      <x:c r="F18" s="7" t="n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2" customWidth="1"/>
    <x:col min="2" max="2" width="18" customWidth="1"/>
    <x:col min="3" max="3" width="16" customWidth="1"/>
    <x:col min="4" max="4" width="23" customWidth="1"/>
    <x:col min="5" max="7" width="12" customWidth="1"/>
  </x:cols>
  <x:sheetData>
    <x:row r="1" ht="28" customHeight="1">
      <x:c r="A1" s="25" t="inlineStr">
        <x:is>
          <x:t xml:space="preserve">E25 DNB试剂分装（Sequencing Prep / Full 通用）</x:t>
        </x:is>
      </x:c>
      <x:c r="B1" s="31" t="n"/>
      <x:c r="C1" s="31" t="n"/>
      <x:c r="D1" s="31" t="n"/>
      <x:c r="E1" s="31" t="n"/>
      <x:c r="F1" s="31" t="n"/>
      <x:c r="G1" s="32" t="n"/>
    </x:row>
    <x:row r="2" ht="55" customHeight="1">
      <x:c r="A2" s="36" t="str">
        <x:v>E25全流程每轮1个DNB；上机前准备最多3个DNB。按SOP表10-3分装，单位µL；T2仅上机前准备另配6000 µL，全流程用量见表9。</x:v>
      </x:c>
      <x:c r="B2" s="37" t="n"/>
      <x:c r="C2" s="37" t="n"/>
      <x:c r="D2" s="37" t="n"/>
      <x:c r="E2" s="37" t="n"/>
      <x:c r="F2" s="37" t="n"/>
      <x:c r="G2" s="44" t="n"/>
    </x:row>
    <x:row r="3" ht="35" customHeight="1">
      <x:c r="A3" s="38" t="inlineStr">
        <x:is>
          <x:t xml:space="preserve">试剂名称</x:t>
        </x:is>
      </x:c>
      <x:c r="B3" s="38" t="inlineStr">
        <x:is>
          <x:t xml:space="preserve">耗材</x:t>
        </x:is>
      </x:c>
      <x:c r="C3" s="38" t="inlineStr">
        <x:is>
          <x:t xml:space="preserve">台面位置</x:t>
        </x:is>
      </x:c>
      <x:c r="D3" s="38" t="str">
        <x:v>配置公式（D为DNB个数）</x:v>
      </x:c>
      <x:c r="E3" s="39" t="n">
        <x:v>1</x:v>
      </x:c>
      <x:c r="F3" s="39" t="n">
        <x:v>2</x:v>
      </x:c>
      <x:c r="G3" s="39" t="n">
        <x:v>3</x:v>
      </x:c>
    </x:row>
    <x:row r="4" ht="45" customHeight="1">
      <x:c r="A4" s="40" t="str">
        <x:v>DNB制备缓冲液(OS-V2.0-SB)</x:v>
      </x:c>
      <x:c r="B4" s="40" t="inlineStr">
        <x:is>
          <x:t xml:space="preserve">0.5 mL冻存管</x:t>
        </x:is>
      </x:c>
      <x:c r="C4" s="40" t="inlineStr">
        <x:is>
          <x:t xml:space="preserve">POS17 C1R5</x:t>
        </x:is>
      </x:c>
      <x:c r="D4" s="40" t="inlineStr">
        <x:is>
          <x:t xml:space="preserve">20 × D + 20</x:t>
        </x:is>
      </x:c>
      <x:c r="E4" s="41" t="n">
        <x:f>20*E$3+20</x:f>
        <x:v>40</x:v>
      </x:c>
      <x:c r="F4" s="41" t="n">
        <x:f>20*F$3+20</x:f>
        <x:v>60</x:v>
      </x:c>
      <x:c r="G4" s="41" t="n">
        <x:f>20*G$3+20</x:f>
        <x:v>80</x:v>
      </x:c>
    </x:row>
    <x:row r="5" ht="45" customHeight="1">
      <x:c r="A5" s="40" t="str">
        <x:v>DNB聚合酶混合液Ⅰ(OS)</x:v>
      </x:c>
      <x:c r="B5" s="40" t="inlineStr">
        <x:is>
          <x:t xml:space="preserve">0.5 mL冻存管</x:t>
        </x:is>
      </x:c>
      <x:c r="C5" s="40" t="inlineStr">
        <x:is>
          <x:t xml:space="preserve">POS17 C2R5</x:t>
        </x:is>
      </x:c>
      <x:c r="D5" s="40" t="str">
        <x:v>40×(D+0.5)+6，向上取10</x:v>
      </x:c>
      <x:c r="E5" s="41" t="n">
        <x:f>CEILING(40*(E$3+0.5)+6,10)</x:f>
        <x:v>70</x:v>
      </x:c>
      <x:c r="F5" s="41" t="n">
        <x:f>CEILING(40*(F$3+0.5)+6,10)</x:f>
        <x:v>110</x:v>
      </x:c>
      <x:c r="G5" s="41" t="n">
        <x:f>CEILING(40*(G$3+0.5)+6,10)</x:f>
        <x:v>150</x:v>
      </x:c>
    </x:row>
    <x:row r="6" ht="45" customHeight="1">
      <x:c r="A6" s="40" t="str">
        <x:v>DNB聚合酶混合液Ⅱ（OS）</x:v>
      </x:c>
      <x:c r="B6" s="40" t="inlineStr">
        <x:is>
          <x:t xml:space="preserve">0.5 mL冻存管</x:t>
        </x:is>
      </x:c>
      <x:c r="C6" s="40" t="inlineStr">
        <x:is>
          <x:t xml:space="preserve">POS17 C3R5</x:t>
        </x:is>
      </x:c>
      <x:c r="D6" s="40" t="str">
        <x:v>4 × (D + 0.5)</x:v>
      </x:c>
      <x:c r="E6" s="41" t="n">
        <x:f>4*(E$3+0.5)</x:f>
        <x:v>6</x:v>
      </x:c>
      <x:c r="F6" s="41" t="n">
        <x:f>4*(F$3+0.5)</x:f>
        <x:v>10</x:v>
      </x:c>
      <x:c r="G6" s="41" t="n">
        <x:f>4*(G$3+0.5)</x:f>
        <x:v>14</x:v>
      </x:c>
    </x:row>
    <x:row r="7" ht="45" customHeight="1">
      <x:c r="A7" s="40" t="inlineStr">
        <x:is>
          <x:t xml:space="preserve">DNB终止缓冲液</x:t>
        </x:is>
      </x:c>
      <x:c r="B7" s="40" t="inlineStr">
        <x:is>
          <x:t xml:space="preserve">0.5 mL冻存管</x:t>
        </x:is>
      </x:c>
      <x:c r="C7" s="40" t="inlineStr">
        <x:is>
          <x:t xml:space="preserve">POS17 C4R5</x:t>
        </x:is>
      </x:c>
      <x:c r="D7" s="40" t="inlineStr">
        <x:is>
          <x:t xml:space="preserve">20 × D + 20</x:t>
        </x:is>
      </x:c>
      <x:c r="E7" s="41" t="n">
        <x:f>20*E$3+20</x:f>
        <x:v>40</x:v>
      </x:c>
      <x:c r="F7" s="41" t="n">
        <x:f>20*F$3+20</x:f>
        <x:v>60</x:v>
      </x:c>
      <x:c r="G7" s="41" t="n">
        <x:f>20*G$3+20</x:f>
        <x:v>80</x:v>
      </x:c>
    </x:row>
    <x:row r="8" ht="85" customHeight="1">
      <x:c r="A8" s="40" t="str">
        <x:v>T2溶解液</x:v>
      </x:c>
      <x:c r="B8" s="40" t="str">
        <x:v>8 mL管（用后回收，须盖黑色胶塞）</x:v>
      </x:c>
      <x:c r="C8" s="40" t="str">
        <x:v>POS24 C1R2</x:v>
      </x:c>
      <x:c r="D8" s="40" t="str">
        <x:v>仅上机前准备需配；全流程见SOP表9</x:v>
      </x:c>
      <x:c r="E8" s="41" t="n">
        <x:v>6000</x:v>
      </x:c>
      <x:c r="F8" s="41" t="n">
        <x:v>6000</x:v>
      </x:c>
      <x:c r="G8" s="41" t="n">
        <x:v>6000</x:v>
      </x:c>
    </x:row>
    <x:row r="9">
      <x:c r="A9" s="45"/>
      <x:c r="B9" s="45"/>
      <x:c r="C9" s="45"/>
      <x:c r="D9" s="45"/>
      <x:c r="E9" s="45"/>
      <x:c r="F9" s="45"/>
      <x:c r="G9" s="45"/>
    </x:row>
    <x:row r="10">
      <x:c r="A10" s="45"/>
      <x:c r="B10" s="45"/>
      <x:c r="C10" s="45"/>
      <x:c r="D10" s="45"/>
      <x:c r="E10" s="45"/>
      <x:c r="F10" s="45"/>
      <x:c r="G10" s="45"/>
    </x:row>
  </x:sheetData>
  <x:mergeCells>
    <x:mergeCell ref="A2:G2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18" customWidth="1"/>
    <x:col min="3" max="3" width="16" customWidth="1"/>
    <x:col min="4" max="4" width="30" customWidth="1"/>
    <x:col min="5" max="10" width="11" customWidth="1"/>
  </x:cols>
  <x:sheetData>
    <x:row r="1" ht="28" customHeight="1">
      <x:c r="A1" s="25" t="inlineStr">
        <x:is>
          <x:t xml:space="preserve">G99 DNB试剂分装（Sequencing Prep / Full 通用）</x:t>
        </x:is>
      </x:c>
      <x:c r="B1" s="31" t="n"/>
      <x:c r="C1" s="31" t="n"/>
      <x:c r="D1" s="31" t="n"/>
      <x:c r="E1" s="31" t="n"/>
      <x:c r="F1" s="31" t="n"/>
      <x:c r="G1" s="31" t="n"/>
      <x:c r="H1" s="31" t="n"/>
      <x:c r="I1" s="31" t="n"/>
      <x:c r="J1" s="32" t="n"/>
    </x:row>
    <x:row r="2" ht="55" customHeight="1">
      <x:c r="A2" s="36" t="str">
        <x:v>G99全流程每轮1个DNB；上机前准备最多3个DNB。按SOP表10-2分装，单位µL；T2仅上机前准备另配6000 µL，全流程用量见表9。</x:v>
      </x:c>
      <x:c r="B2" s="37" t="n"/>
      <x:c r="C2" s="37" t="n"/>
      <x:c r="D2" s="37" t="n"/>
      <x:c r="E2" s="37" t="n"/>
      <x:c r="F2" s="37" t="n"/>
      <x:c r="G2" s="37" t="n"/>
      <x:c r="H2" s="31" t="n"/>
      <x:c r="I2" s="31" t="n"/>
      <x:c r="J2" s="32" t="n"/>
    </x:row>
    <x:row r="3" ht="35" customHeight="1">
      <x:c r="A3" s="38" t="inlineStr">
        <x:is>
          <x:t xml:space="preserve">试剂名称</x:t>
        </x:is>
      </x:c>
      <x:c r="B3" s="38" t="inlineStr">
        <x:is>
          <x:t xml:space="preserve">耗材</x:t>
        </x:is>
      </x:c>
      <x:c r="C3" s="38" t="inlineStr">
        <x:is>
          <x:t xml:space="preserve">台面位置</x:t>
        </x:is>
      </x:c>
      <x:c r="D3" s="38" t="str">
        <x:v>配置公式（D为DNB个数）</x:v>
      </x:c>
      <x:c r="E3" s="39" t="n">
        <x:v>1</x:v>
      </x:c>
      <x:c r="F3" s="39" t="n">
        <x:v>2</x:v>
      </x:c>
      <x:c r="G3" s="39" t="n">
        <x:v>3</x:v>
      </x:c>
      <x:c r="H3" s="33"/>
      <x:c r="I3" s="33"/>
      <x:c r="J3" s="33"/>
    </x:row>
    <x:row r="4" ht="45" customHeight="1">
      <x:c r="A4" s="40" t="str">
        <x:v>环化反应缓冲液</x:v>
      </x:c>
      <x:c r="B4" s="40" t="inlineStr">
        <x:is>
          <x:t xml:space="preserve">0.5 mL冻存管</x:t>
        </x:is>
      </x:c>
      <x:c r="C4" s="40" t="inlineStr">
        <x:is>
          <x:t xml:space="preserve">POS17 C1R4</x:t>
        </x:is>
      </x:c>
      <x:c r="D4" s="40" t="str">
        <x:v>11.6 × (D + 1) + 6，向上取10</x:v>
      </x:c>
      <x:c r="E4" s="41" t="n">
        <x:f>CEILING(11.6*(E$3+1)+6,10)</x:f>
        <x:v>30</x:v>
      </x:c>
      <x:c r="F4" s="41" t="n">
        <x:f>CEILING(11.6*(F$3+1)+6,10)</x:f>
        <x:v>50</x:v>
      </x:c>
      <x:c r="G4" s="41" t="n">
        <x:f>CEILING(11.6*(G$3+1)+6,10)</x:f>
        <x:v>60</x:v>
      </x:c>
      <x:c r="H4" s="34"/>
      <x:c r="I4" s="34"/>
      <x:c r="J4" s="34"/>
    </x:row>
    <x:row r="5" ht="45" customHeight="1">
      <x:c r="A5" s="40" t="str">
        <x:v>连接酶</x:v>
      </x:c>
      <x:c r="B5" s="40" t="inlineStr">
        <x:is>
          <x:t xml:space="preserve">0.5 mL冻存管</x:t>
        </x:is>
      </x:c>
      <x:c r="C5" s="40" t="inlineStr">
        <x:is>
          <x:t xml:space="preserve">POS17 C2R4</x:t>
        </x:is>
      </x:c>
      <x:c r="D5" s="40" t="inlineStr">
        <x:is>
          <x:t xml:space="preserve">0.5 × (D + 1)</x:t>
        </x:is>
      </x:c>
      <x:c r="E5" s="41" t="n">
        <x:f>0.5*(E$3+1)</x:f>
        <x:v>1</x:v>
      </x:c>
      <x:c r="F5" s="41" t="n">
        <x:f>0.5*(F$3+1)</x:f>
        <x:v>1.5</x:v>
      </x:c>
      <x:c r="G5" s="41" t="n">
        <x:f>0.5*(G$3+1)</x:f>
        <x:v>2</x:v>
      </x:c>
      <x:c r="H5" s="34"/>
      <x:c r="I5" s="34"/>
      <x:c r="J5" s="34"/>
    </x:row>
    <x:row r="6" ht="45" customHeight="1">
      <x:c r="A6" s="40" t="inlineStr">
        <x:is>
          <x:t xml:space="preserve">DNB制备缓冲液（SB）</x:t>
        </x:is>
      </x:c>
      <x:c r="B6" s="40" t="inlineStr">
        <x:is>
          <x:t xml:space="preserve">0.5 mL冻存管</x:t>
        </x:is>
      </x:c>
      <x:c r="C6" s="40" t="inlineStr">
        <x:is>
          <x:t xml:space="preserve">POS17 C3R5</x:t>
        </x:is>
      </x:c>
      <x:c r="D6" s="40" t="str">
        <x:v>14 × D + 6，向上取10</x:v>
      </x:c>
      <x:c r="E6" s="41" t="n">
        <x:f>CEILING(14*E$3+6,10)</x:f>
        <x:v>20</x:v>
      </x:c>
      <x:c r="F6" s="41" t="n">
        <x:f>CEILING(14*F$3+6,10)</x:f>
        <x:v>40</x:v>
      </x:c>
      <x:c r="G6" s="41" t="n">
        <x:f>CEILING(14*G$3+6,10)</x:f>
        <x:v>50</x:v>
      </x:c>
      <x:c r="H6" s="34"/>
      <x:c r="I6" s="34"/>
      <x:c r="J6" s="34"/>
    </x:row>
    <x:row r="7" ht="45" customHeight="1">
      <x:c r="A7" s="40" t="str">
        <x:v>DNB聚合酶混合液Ⅰ</x:v>
      </x:c>
      <x:c r="B7" s="40" t="inlineStr">
        <x:is>
          <x:t xml:space="preserve">0.5 mL冻存管</x:t>
        </x:is>
      </x:c>
      <x:c r="C7" s="40" t="inlineStr">
        <x:is>
          <x:t xml:space="preserve">POS17 C1R5</x:t>
        </x:is>
      </x:c>
      <x:c r="D7" s="40" t="str">
        <x:v>20 × (D + 0.5) + 6，向上取10</x:v>
      </x:c>
      <x:c r="E7" s="41" t="n">
        <x:f>CEILING(20*(E$3+0.5)+6,10)</x:f>
        <x:v>40</x:v>
      </x:c>
      <x:c r="F7" s="41" t="n">
        <x:f>CEILING(20*(F$3+0.5)+6,10)</x:f>
        <x:v>60</x:v>
      </x:c>
      <x:c r="G7" s="41" t="n">
        <x:f>CEILING(20*(G$3+0.5)+6,10)</x:f>
        <x:v>80</x:v>
      </x:c>
      <x:c r="H7" s="34"/>
      <x:c r="I7" s="34"/>
      <x:c r="J7" s="34"/>
    </x:row>
    <x:row r="8" ht="45" customHeight="1">
      <x:c r="A8" s="40" t="str">
        <x:v>DNB聚合酶混合液Ⅱ（LC）</x:v>
      </x:c>
      <x:c r="B8" s="40" t="inlineStr">
        <x:is>
          <x:t xml:space="preserve">0.5 mL冻存管</x:t>
        </x:is>
      </x:c>
      <x:c r="C8" s="40" t="inlineStr">
        <x:is>
          <x:t xml:space="preserve">POS17 C2R5</x:t>
        </x:is>
      </x:c>
      <x:c r="D8" s="40" t="inlineStr">
        <x:is>
          <x:t xml:space="preserve">2 × (D + 0.5)</x:t>
        </x:is>
      </x:c>
      <x:c r="E8" s="41" t="n">
        <x:f>2*(E$3+0.5)</x:f>
        <x:v>3</x:v>
      </x:c>
      <x:c r="F8" s="41" t="n">
        <x:f>2*(F$3+0.5)</x:f>
        <x:v>5</x:v>
      </x:c>
      <x:c r="G8" s="41" t="n">
        <x:f>2*(G$3+0.5)</x:f>
        <x:v>7</x:v>
      </x:c>
      <x:c r="H8" s="34"/>
      <x:c r="I8" s="34"/>
      <x:c r="J8" s="34"/>
    </x:row>
    <x:row r="9" ht="45" customHeight="1">
      <x:c r="A9" s="40" t="inlineStr">
        <x:is>
          <x:t xml:space="preserve">DNB终止缓冲液</x:t>
        </x:is>
      </x:c>
      <x:c r="B9" s="40" t="inlineStr">
        <x:is>
          <x:t xml:space="preserve">0.5 mL冻存管</x:t>
        </x:is>
      </x:c>
      <x:c r="C9" s="40" t="inlineStr">
        <x:is>
          <x:t xml:space="preserve">POS17 C4R5</x:t>
        </x:is>
      </x:c>
      <x:c r="D9" s="40" t="str">
        <x:v>14 × D + 6，向上取10</x:v>
      </x:c>
      <x:c r="E9" s="41" t="n">
        <x:f>CEILING(14*E$3+6,10)</x:f>
        <x:v>20</x:v>
      </x:c>
      <x:c r="F9" s="41" t="n">
        <x:f>CEILING(14*F$3+6,10)</x:f>
        <x:v>40</x:v>
      </x:c>
      <x:c r="G9" s="41" t="n">
        <x:f>CEILING(14*G$3+6,10)</x:f>
        <x:v>50</x:v>
      </x:c>
      <x:c r="H9" s="34"/>
      <x:c r="I9" s="34"/>
      <x:c r="J9" s="34"/>
    </x:row>
    <x:row r="10" ht="85" customHeight="1">
      <x:c r="A10" s="40" t="str">
        <x:v>T2溶解液</x:v>
      </x:c>
      <x:c r="B10" s="40" t="str">
        <x:v>8 mL管（用后回收，须盖黑色胶塞）</x:v>
      </x:c>
      <x:c r="C10" s="40" t="str">
        <x:v>POS24 C1R2</x:v>
      </x:c>
      <x:c r="D10" s="40" t="str">
        <x:v>仅上机前准备需配；全流程见SOP表9</x:v>
      </x:c>
      <x:c r="E10" s="41" t="n">
        <x:v>6000</x:v>
      </x:c>
      <x:c r="F10" s="41" t="n">
        <x:v>6000</x:v>
      </x:c>
      <x:c r="G10" s="41" t="n">
        <x:v>6000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18" customWidth="1"/>
    <x:col min="3" max="3" width="16" customWidth="1"/>
    <x:col min="4" max="4" width="24" customWidth="1"/>
    <x:col min="5" max="8" width="15" customWidth="1"/>
  </x:cols>
  <x:sheetData>
    <x:row r="1" ht="28" customHeight="1">
      <x:c r="A1" s="25" t="str">
        <x:v>MGISEQ-200/2000 DNB试剂分装（Sequencing Prep / Full 通用）</x:v>
      </x:c>
      <x:c r="B1" s="31" t="n"/>
      <x:c r="C1" s="31" t="n"/>
      <x:c r="D1" s="31" t="n"/>
      <x:c r="E1" s="31" t="n"/>
      <x:c r="F1" s="31" t="n"/>
      <x:c r="G1" s="31" t="n"/>
      <x:c r="H1" s="32" t="n"/>
    </x:row>
    <x:row r="2" ht="55" customHeight="1">
      <x:c r="A2" s="36" t="str">
        <x:v>MGISEQ-200/2000全流程每轮1个DNB；上机前准备最多3个DNB。按SOP表10-1分装，单位µL；T2仅上机前准备另配6000 µL，全流程用量见表9。</x:v>
      </x:c>
      <x:c r="B2" s="37" t="n"/>
      <x:c r="C2" s="37" t="n"/>
      <x:c r="D2" s="37" t="n"/>
      <x:c r="E2" s="37" t="n"/>
      <x:c r="F2" s="37" t="n"/>
      <x:c r="G2" s="37" t="n"/>
      <x:c r="H2" s="32" t="n"/>
    </x:row>
    <x:row r="3" ht="35" customHeight="1">
      <x:c r="A3" s="38" t="str">
        <x:v>试剂名称</x:v>
      </x:c>
      <x:c r="B3" s="38" t="str">
        <x:v>耗材</x:v>
      </x:c>
      <x:c r="C3" s="38" t="str">
        <x:v>台面位置</x:v>
      </x:c>
      <x:c r="D3" s="38" t="str">
        <x:v>分装口径</x:v>
      </x:c>
      <x:c r="E3" s="38" t="str">
        <x:v>DNB-1个</x:v>
      </x:c>
      <x:c r="F3" s="38" t="str">
        <x:v>DNB-2个</x:v>
      </x:c>
      <x:c r="G3" s="38" t="str">
        <x:v>DNB-3个</x:v>
      </x:c>
      <x:c r="H3" s="18"/>
    </x:row>
    <x:row r="4" ht="45" customHeight="1">
      <x:c r="A4" s="42" t="str">
        <x:v>环化反应缓冲液</x:v>
      </x:c>
      <x:c r="B4" s="42" t="str">
        <x:v>0.5 mL冻存管</x:v>
      </x:c>
      <x:c r="C4" s="42" t="str">
        <x:v>POS17 C1R4</x:v>
      </x:c>
      <x:c r="D4" s="42" t="str">
        <x:v>按SOP表10-1</x:v>
      </x:c>
      <x:c r="E4" s="43" t="n">
        <x:v>30</x:v>
      </x:c>
      <x:c r="F4" s="43" t="n">
        <x:v>40</x:v>
      </x:c>
      <x:c r="G4" s="43" t="n">
        <x:v>60</x:v>
      </x:c>
      <x:c r="H4" s="35"/>
    </x:row>
    <x:row r="5" ht="45" customHeight="1">
      <x:c r="A5" s="40" t="str">
        <x:v>连接酶</x:v>
      </x:c>
      <x:c r="B5" s="40" t="str">
        <x:v>0.5 mL冻存管</x:v>
      </x:c>
      <x:c r="C5" s="40" t="str">
        <x:v>POS17 C2R4</x:v>
      </x:c>
      <x:c r="D5" s="40" t="str">
        <x:v>按SOP表10-1手工分装</x:v>
      </x:c>
      <x:c r="E5" s="41" t="n">
        <x:v>1</x:v>
      </x:c>
      <x:c r="F5" s="41" t="n">
        <x:v>1.5</x:v>
      </x:c>
      <x:c r="G5" s="41" t="n">
        <x:v>2</x:v>
      </x:c>
      <x:c r="H5" s="34"/>
    </x:row>
    <x:row r="6" ht="45" customHeight="1">
      <x:c r="A6" s="40" t="str">
        <x:v>DNB制备缓冲液</x:v>
      </x:c>
      <x:c r="B6" s="40" t="str">
        <x:v>0.5 mL冻存管</x:v>
      </x:c>
      <x:c r="C6" s="40" t="str">
        <x:v>POS17 C3R5</x:v>
      </x:c>
      <x:c r="D6" s="40" t="str">
        <x:v>按SOP表10-1</x:v>
      </x:c>
      <x:c r="E6" s="41" t="n">
        <x:v>40</x:v>
      </x:c>
      <x:c r="F6" s="41" t="n">
        <x:v>70</x:v>
      </x:c>
      <x:c r="G6" s="41" t="n">
        <x:v>90</x:v>
      </x:c>
      <x:c r="H6" s="34"/>
    </x:row>
    <x:row r="7" ht="45" customHeight="1">
      <x:c r="A7" s="40" t="str">
        <x:v>DNB聚合酶混合液Ⅰ</x:v>
      </x:c>
      <x:c r="B7" s="40" t="str">
        <x:v>0.5 mL冻存管</x:v>
      </x:c>
      <x:c r="C7" s="40" t="str">
        <x:v>POS17 C1R5</x:v>
      </x:c>
      <x:c r="D7" s="40" t="str">
        <x:v>按SOP表10-1</x:v>
      </x:c>
      <x:c r="E7" s="41" t="n">
        <x:v>70</x:v>
      </x:c>
      <x:c r="F7" s="41" t="n">
        <x:v>110</x:v>
      </x:c>
      <x:c r="G7" s="41" t="n">
        <x:v>150</x:v>
      </x:c>
      <x:c r="H7" s="34"/>
    </x:row>
    <x:row r="8" ht="45" customHeight="1">
      <x:c r="A8" s="40" t="str">
        <x:v>DNB聚合酶混合液Ⅱ（LC）</x:v>
      </x:c>
      <x:c r="B8" s="40" t="str">
        <x:v>0.5 mL冻存管</x:v>
      </x:c>
      <x:c r="C8" s="40" t="str">
        <x:v>POS17 C2R5</x:v>
      </x:c>
      <x:c r="D8" s="40" t="str">
        <x:v>按SOP表10-1手工分装</x:v>
      </x:c>
      <x:c r="E8" s="41" t="n">
        <x:v>6</x:v>
      </x:c>
      <x:c r="F8" s="41" t="n">
        <x:v>10</x:v>
      </x:c>
      <x:c r="G8" s="41" t="n">
        <x:v>14</x:v>
      </x:c>
      <x:c r="H8" s="34"/>
    </x:row>
    <x:row r="9" ht="45" customHeight="1">
      <x:c r="A9" s="40" t="str">
        <x:v>DNB终止缓冲液</x:v>
      </x:c>
      <x:c r="B9" s="40" t="str">
        <x:v>0.5 mL冻存管</x:v>
      </x:c>
      <x:c r="C9" s="40" t="str">
        <x:v>POS17 C4R5</x:v>
      </x:c>
      <x:c r="D9" s="40" t="str">
        <x:v>按SOP表10-1</x:v>
      </x:c>
      <x:c r="E9" s="41" t="n">
        <x:v>40</x:v>
      </x:c>
      <x:c r="F9" s="41" t="n">
        <x:v>70</x:v>
      </x:c>
      <x:c r="G9" s="41" t="n">
        <x:v>90</x:v>
      </x:c>
      <x:c r="H9" s="34"/>
    </x:row>
    <x:row r="10" ht="85" customHeight="1">
      <x:c r="A10" s="40" t="str">
        <x:v>T2溶解液</x:v>
      </x:c>
      <x:c r="B10" s="40" t="str">
        <x:v>8 mL管（用后回收，须盖黑色胶塞）</x:v>
      </x:c>
      <x:c r="C10" s="40" t="str">
        <x:v>POS24 C1R2</x:v>
      </x:c>
      <x:c r="D10" s="40" t="str">
        <x:v>仅上机前准备需配；全流程见SOP表9</x:v>
      </x:c>
      <x:c r="E10" s="41" t="n">
        <x:v>6000</x:v>
      </x:c>
      <x:c r="F10" s="41" t="n">
        <x:v>6000</x:v>
      </x:c>
      <x:c r="G10" s="41" t="n">
        <x:v>6000</x:v>
      </x:c>
    </x:row>
  </x:sheetData>
  <x:mergeCells>
    <x:mergeCell ref="A2:H2"/>
    <x:mergeCell ref="A1:H1"/>
  </x:mergeCells>
  <x:pageMargins left="0.7" right="0.7" top="0.75" bottom="0.75" header="0.3" footer="0.3"/>
</x:worksheet>
</file>
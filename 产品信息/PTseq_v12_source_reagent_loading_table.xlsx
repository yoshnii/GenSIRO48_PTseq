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试剂分装" sheetId="1" state="visible" r:id="rId1"/>
    <sheet name="代码消耗" sheetId="2" state="visible" r:id="rId2"/>
    <sheet name="计算明细" sheetId="3" state="visible" r:id="rId3"/>
    <sheet name="说明" sheetId="4" state="visible" r:id="rId4"/>
    <sheet name="均一化设计" sheetId="5" state="visible" r:id="rId5"/>
    <sheet name="E25_DNB试剂" sheetId="6" state="visible" r:id="rId6"/>
    <sheet name="G99_DNB试剂" sheetId="7" state="visible" r:id="rId7"/>
    <sheet name="200_2000_DNB试剂" sheetId="8" state="visible" r:id="rId8"/>
  </sheets>
  <definedNames/>
</workbook>
</file>

<file path=xl/styles.xml><?xml version="1.0" encoding="utf-8"?>
<styleSheet xmlns="http://schemas.openxmlformats.org/spreadsheetml/2006/main">
  <numFmts count="3">
    <numFmt numFmtId="164" formatCode="0.##"/>
    <numFmt numFmtId="165" formatCode="0&quot; DNB&quot;"/>
    <numFmt numFmtId="166" formatCode="0.0"/>
  </numFmts>
  <fonts count="10">
    <font>
      <name val="Carlito"/>
      <sz val="11"/>
    </font>
    <font>
      <name val="Carlito"/>
      <b val="1"/>
      <sz val="11"/>
    </font>
    <font>
      <name val="Carlito"/>
      <sz val="11"/>
    </font>
    <font>
      <name val="FangSong"/>
      <sz val="9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Aptos"/>
      <color rgb="FF1F2937"/>
      <sz val="11"/>
    </font>
    <font>
      <name val="Aptos"/>
      <b val="1"/>
      <color rgb="FFFFFFFF"/>
      <sz val="15"/>
    </font>
    <font>
      <name val="Aptos"/>
      <i val="1"/>
      <color rgb="FF7F6000"/>
      <sz val="11"/>
    </font>
    <font>
      <name val="Aptos"/>
      <b val="1"/>
      <color rgb="FF1F2937"/>
      <sz val="11"/>
    </font>
  </fonts>
  <fills count="9">
    <fill>
      <patternFill/>
    </fill>
    <fill>
      <patternFill patternType="gray125"/>
    </fill>
    <fill>
      <patternFill patternType="solid">
        <fgColor rgb="FFE8F1FA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17">
    <border/>
    <border/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  <border>
      <top style="thin">
        <color rgb="FF8EA9C1"/>
      </top>
    </border>
    <border>
      <right style="thin">
        <color rgb="FF8EA9C1"/>
      </right>
      <top style="thin">
        <color rgb="FF8EA9C1"/>
      </top>
    </border>
    <border>
      <top style="thin">
        <color rgb="FF8EA9C1"/>
      </top>
      <bottom style="thin">
        <color rgb="FF8EA9C1"/>
      </bottom>
    </border>
    <border>
      <right style="thin">
        <color rgb="FF8EA9C1"/>
      </right>
      <top style="thin">
        <color rgb="FF8EA9C1"/>
      </top>
      <bottom style="thin">
        <color rgb="FF8EA9C1"/>
      </bottom>
    </border>
  </borders>
  <cellStyleXfs count="2">
    <xf numFmtId="0" fontId="2" fillId="0" borderId="1"/>
    <xf numFmtId="0" fontId="2" fillId="0" borderId="1"/>
  </cellStyleXfs>
  <cellXfs count="36">
    <xf numFmtId="0" fontId="0" fillId="0" borderId="0" pivotButton="0" quotePrefix="0" xfId="0"/>
    <xf numFmtId="0" fontId="1" fillId="0" borderId="0" applyAlignment="1" pivotButton="0" quotePrefix="0" xfId="1">
      <alignment vertical="center" wrapText="1"/>
    </xf>
    <xf numFmtId="0" fontId="0" fillId="0" borderId="0" applyAlignment="1" pivotButton="0" quotePrefix="0" xfId="1">
      <alignment vertical="center" wrapText="1"/>
    </xf>
    <xf numFmtId="0" fontId="1" fillId="2" borderId="0" applyAlignment="1" pivotButton="0" quotePrefix="0" xfId="1">
      <alignment vertical="center" wrapText="1"/>
    </xf>
    <xf numFmtId="0" fontId="0" fillId="0" borderId="1" applyAlignment="1" pivotButton="0" quotePrefix="0" xfId="1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5" fillId="4" borderId="2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0" fontId="9" fillId="7" borderId="12" applyAlignment="1" pivotButton="0" quotePrefix="0" xfId="0">
      <alignment horizontal="center" vertical="center" wrapText="1"/>
    </xf>
    <xf numFmtId="165" fontId="9" fillId="7" borderId="12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left" vertical="center" wrapText="1"/>
    </xf>
    <xf numFmtId="166" fontId="6" fillId="0" borderId="12" applyAlignment="1" pivotButton="0" quotePrefix="0" xfId="0">
      <alignment horizontal="center" vertical="center" wrapText="1"/>
    </xf>
    <xf numFmtId="0" fontId="9" fillId="8" borderId="12" applyAlignment="1" pivotButton="0" quotePrefix="0" xfId="0">
      <alignment horizontal="center" vertical="center" wrapText="1"/>
    </xf>
    <xf numFmtId="166" fontId="9" fillId="8" borderId="12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7" fillId="5" borderId="12" applyAlignment="1" pivotButton="0" quotePrefix="0" xfId="0">
      <alignment horizontal="left" vertical="center" wrapText="1"/>
    </xf>
    <xf numFmtId="0" fontId="8" fillId="6" borderId="12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5" pivotButton="0" quotePrefix="0" xfId="0"/>
    <xf numFmtId="0" fontId="0" fillId="0" borderId="16" pivotButton="0" quotePrefix="0" xfId="0"/>
    <xf numFmtId="165" fontId="9" fillId="7" borderId="12" applyAlignment="1" pivotButton="0" quotePrefix="0" xfId="0">
      <alignment horizontal="center" vertical="center" wrapText="1"/>
    </xf>
    <xf numFmtId="166" fontId="6" fillId="0" borderId="12" applyAlignment="1" pivotButton="0" quotePrefix="0" xfId="0">
      <alignment horizontal="center" vertical="center" wrapText="1"/>
    </xf>
    <xf numFmtId="166" fontId="9" fillId="8" borderId="12" applyAlignment="1" pivotButton="0" quotePrefix="0" xfId="0">
      <alignment horizontal="center" vertical="center" wrapText="1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10" defaultColWidth="8.83203125" defaultRowHeight="14"/>
  <cols>
    <col width="23.5" customWidth="1" min="1" max="1"/>
    <col width="13.83203125" customWidth="1" min="2" max="2"/>
    <col hidden="1" width="12.83203125" customWidth="1" min="3" max="3"/>
    <col hidden="1" width="28.1640625" customWidth="1" min="4" max="4"/>
    <col hidden="1" width="46.33203125" customWidth="1" min="5" max="5"/>
    <col width="7" customWidth="1" min="6" max="11"/>
  </cols>
  <sheetData>
    <row r="1" ht="15" customHeight="1">
      <c r="A1" s="1" t="inlineStr">
        <is>
          <t>PTseq 试剂分装量（µL）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15" customHeight="1">
      <c r="A3" s="3" t="inlineStr">
        <is>
          <t>试剂</t>
        </is>
      </c>
      <c r="B3" s="3" t="inlineStr">
        <is>
          <t>台面位置</t>
        </is>
      </c>
      <c r="C3" s="3" t="inlineStr">
        <is>
          <t>耗材类别</t>
        </is>
      </c>
      <c r="D3" s="3" t="inlineStr">
        <is>
          <t>来源冗余</t>
        </is>
      </c>
      <c r="E3" s="3" t="inlineStr">
        <is>
          <t>计算规则</t>
        </is>
      </c>
      <c r="F3" s="3" t="n">
        <v>8</v>
      </c>
      <c r="G3" s="3" t="n">
        <v>16</v>
      </c>
      <c r="H3" s="3" t="n">
        <v>24</v>
      </c>
      <c r="I3" s="3" t="n">
        <v>32</v>
      </c>
      <c r="J3" s="3" t="n">
        <v>40</v>
      </c>
      <c r="K3" s="3" t="n">
        <v>48</v>
      </c>
    </row>
    <row r="4" ht="15" customHeight="1">
      <c r="A4" s="4" t="inlineStr">
        <is>
          <t>T1 cDNA引物</t>
        </is>
      </c>
      <c r="B4" s="4" t="inlineStr">
        <is>
          <t>POS17 C1R1</t>
        </is>
      </c>
      <c r="C4" s="4" t="inlineStr">
        <is>
          <t>0.5 mL冻存管</t>
        </is>
      </c>
      <c r="D4" s="4" t="inlineStr">
        <is>
          <t>+6 µL</t>
        </is>
      </c>
      <c r="E4" s="4" t="inlineStr">
        <is>
          <t>2 × N</t>
        </is>
      </c>
      <c r="F4" s="7" t="n">
        <v>25</v>
      </c>
      <c r="G4" s="7" t="n">
        <v>40</v>
      </c>
      <c r="H4" s="7" t="n">
        <v>55</v>
      </c>
      <c r="I4" s="7" t="n">
        <v>70</v>
      </c>
      <c r="J4" s="7" t="n">
        <v>90</v>
      </c>
      <c r="K4" s="7" t="n">
        <v>105</v>
      </c>
    </row>
    <row r="5" ht="30" customHeight="1">
      <c r="A5" s="4" t="inlineStr">
        <is>
          <t>T2 cDNA缓冲液</t>
        </is>
      </c>
      <c r="B5" s="4" t="inlineStr">
        <is>
          <t>POS17 C2R1</t>
        </is>
      </c>
      <c r="C5" s="4" t="inlineStr">
        <is>
          <t>0.5 mL冻存管</t>
        </is>
      </c>
      <c r="D5" s="4" t="inlineStr">
        <is>
          <t>+6 µL</t>
        </is>
      </c>
      <c r="E5" s="4" t="inlineStr">
        <is>
          <t>第9列反应液总量 / 2；&gt;16通量含2个完整POS7中转孔的上游冗余</t>
        </is>
      </c>
      <c r="F5" s="7" t="n">
        <v>30</v>
      </c>
      <c r="G5" s="7" t="n">
        <v>50</v>
      </c>
      <c r="H5" s="7" t="n">
        <v>175</v>
      </c>
      <c r="I5" s="7" t="n">
        <v>195</v>
      </c>
      <c r="J5" s="7" t="n">
        <v>215</v>
      </c>
      <c r="K5" s="7" t="n">
        <v>235</v>
      </c>
    </row>
    <row r="6" ht="30" customHeight="1">
      <c r="A6" s="4" t="inlineStr">
        <is>
          <t>T3 cDNA酶</t>
        </is>
      </c>
      <c r="B6" s="4" t="inlineStr">
        <is>
          <t>POS17 C3R1</t>
        </is>
      </c>
      <c r="C6" s="4" t="inlineStr">
        <is>
          <t>0.5 mL冻存管</t>
        </is>
      </c>
      <c r="D6" s="4" t="inlineStr">
        <is>
          <t>+6 µL</t>
        </is>
      </c>
      <c r="E6" s="4" t="inlineStr">
        <is>
          <t>第9列反应液总量 / 2；&gt;16通量含2个完整POS7中转孔的上游冗余</t>
        </is>
      </c>
      <c r="F6" s="7" t="n">
        <v>30</v>
      </c>
      <c r="G6" s="7" t="n">
        <v>50</v>
      </c>
      <c r="H6" s="7" t="n">
        <v>175</v>
      </c>
      <c r="I6" s="7" t="n">
        <v>195</v>
      </c>
      <c r="J6" s="7" t="n">
        <v>215</v>
      </c>
      <c r="K6" s="7" t="n">
        <v>235</v>
      </c>
    </row>
    <row r="7" ht="30" customHeight="1">
      <c r="A7" s="4" t="inlineStr">
        <is>
          <t>T4 TA缓冲液</t>
        </is>
      </c>
      <c r="B7" s="4" t="inlineStr">
        <is>
          <t>POS17 C1R2</t>
        </is>
      </c>
      <c r="C7" s="4" t="inlineStr">
        <is>
          <t>2 mL管</t>
        </is>
      </c>
      <c r="D7" s="4" t="inlineStr">
        <is>
          <t>+10 µL</t>
        </is>
      </c>
      <c r="E7" s="4" t="inlineStr">
        <is>
          <t>第10列反应液总量 × 5/15；&gt;16通量含2个完整POS7中转孔的上游冗余</t>
        </is>
      </c>
      <c r="F7" s="7" t="n">
        <v>60</v>
      </c>
      <c r="G7" s="7" t="n">
        <v>100</v>
      </c>
      <c r="H7" s="7" t="n">
        <v>235</v>
      </c>
      <c r="I7" s="7" t="n">
        <v>285</v>
      </c>
      <c r="J7" s="7" t="n">
        <v>335</v>
      </c>
      <c r="K7" s="7" t="n">
        <v>385</v>
      </c>
    </row>
    <row r="8" ht="30" customHeight="1">
      <c r="A8" s="4" t="inlineStr">
        <is>
          <t>T5 TA酶</t>
        </is>
      </c>
      <c r="B8" s="4" t="inlineStr">
        <is>
          <t>POS17 C2R2</t>
        </is>
      </c>
      <c r="C8" s="4" t="inlineStr">
        <is>
          <t>0.5 mL冻存管</t>
        </is>
      </c>
      <c r="D8" s="4" t="inlineStr">
        <is>
          <t>+10 µL</t>
        </is>
      </c>
      <c r="E8" s="4" t="inlineStr">
        <is>
          <t>第10列反应液总量 × 3/15；&gt;16通量含2个完整POS7中转孔的上游冗余</t>
        </is>
      </c>
      <c r="F8" s="7" t="n">
        <v>40</v>
      </c>
      <c r="G8" s="7" t="n">
        <v>65</v>
      </c>
      <c r="H8" s="7" t="n">
        <v>145</v>
      </c>
      <c r="I8" s="7" t="n">
        <v>175</v>
      </c>
      <c r="J8" s="7" t="n">
        <v>205</v>
      </c>
      <c r="K8" s="7" t="n">
        <v>235</v>
      </c>
    </row>
    <row r="9" ht="30" customHeight="1">
      <c r="A9" s="4" t="inlineStr">
        <is>
          <t>T8 UDG酶</t>
        </is>
      </c>
      <c r="B9" s="4" t="inlineStr">
        <is>
          <t>POS17 C2R3</t>
        </is>
      </c>
      <c r="C9" s="4" t="inlineStr">
        <is>
          <t>2 mL管</t>
        </is>
      </c>
      <c r="D9" s="4" t="inlineStr">
        <is>
          <t>无源管冗余；手工预置到C2R3</t>
        </is>
      </c>
      <c r="E9" s="4" t="inlineStr">
        <is>
          <t>第11列反应液总量 × 1/30；总量&gt;1421 µL时C2R3只配置T7+T8</t>
        </is>
      </c>
      <c r="F9" s="7" t="n">
        <v>9</v>
      </c>
      <c r="G9" s="7" t="n">
        <v>17</v>
      </c>
      <c r="H9" s="7" t="n">
        <v>37.67</v>
      </c>
      <c r="I9" s="7" t="n">
        <v>47.67</v>
      </c>
      <c r="J9" s="7" t="n">
        <v>57.67</v>
      </c>
      <c r="K9" s="7" t="n">
        <v>67.67</v>
      </c>
    </row>
    <row r="10" ht="30" customHeight="1">
      <c r="A10" s="4" t="inlineStr">
        <is>
          <t>T7 LA/PCR Mix</t>
        </is>
      </c>
      <c r="B10" s="4" t="inlineStr">
        <is>
          <t>POS17 C1R3</t>
        </is>
      </c>
      <c r="C10" s="4" t="inlineStr">
        <is>
          <t>2 mL管</t>
        </is>
      </c>
      <c r="D10" s="4" t="inlineStr">
        <is>
          <t>+15 µL，向上取5 µL</t>
        </is>
      </c>
      <c r="E10" s="4" t="inlineStr">
        <is>
          <t>第11列反应液总量 × 20/30 + 源管冗余；总量&gt;1421 µL时C2R3只配置T7+T8</t>
        </is>
      </c>
      <c r="F10" s="7" t="n">
        <v>195</v>
      </c>
      <c r="G10" s="7" t="n">
        <v>355</v>
      </c>
      <c r="H10" s="7" t="n">
        <v>770</v>
      </c>
      <c r="I10" s="7" t="n">
        <v>970</v>
      </c>
      <c r="J10" s="7" t="n">
        <v>1170</v>
      </c>
      <c r="K10" s="7" t="n">
        <v>1370</v>
      </c>
    </row>
    <row r="11" ht="30" customHeight="1">
      <c r="A11" s="4" t="inlineStr">
        <is>
          <t>T2缓冲液总量</t>
        </is>
      </c>
      <c r="B11" s="4" t="inlineStr">
        <is>
          <t>POS24 C1R2</t>
        </is>
      </c>
      <c r="C11" s="4" t="inlineStr">
        <is>
          <t>8 mL管</t>
        </is>
      </c>
      <c r="D11" s="4" t="inlineStr">
        <is>
          <t>+320 µL</t>
        </is>
      </c>
      <c r="E11" s="4" t="inlineStr">
        <is>
          <t>建库阶段T2 + G99 pooling预算（50%样本各14 µL预稀释，并覆盖pooling管及DNB孔动态补液上限）+ 320 µL来源死体积</t>
        </is>
      </c>
      <c r="F11" s="7" t="n">
        <v>1480</v>
      </c>
      <c r="G11" s="7" t="n">
        <v>2185</v>
      </c>
      <c r="H11" s="7" t="n">
        <v>3140</v>
      </c>
      <c r="I11" s="7" t="n">
        <v>3880</v>
      </c>
      <c r="J11" s="7" t="n">
        <v>4615</v>
      </c>
      <c r="K11" s="7" t="n">
        <v>5355</v>
      </c>
    </row>
    <row r="12" ht="15" customHeight="1">
      <c r="A12" s="4" t="inlineStr">
        <is>
          <t>磁珠总量</t>
        </is>
      </c>
      <c r="B12" s="4" t="inlineStr">
        <is>
          <t>POS24 C1R1</t>
        </is>
      </c>
      <c r="C12" s="4" t="inlineStr">
        <is>
          <t>8 mL管</t>
        </is>
      </c>
      <c r="D12" s="4" t="inlineStr">
        <is>
          <t>+400 µL</t>
        </is>
      </c>
      <c r="E12" s="4" t="inlineStr">
        <is>
          <t>TA磁珠 50 × 1.4 × N + LA磁珠 55 × N</t>
        </is>
      </c>
      <c r="F12" s="7" t="n">
        <v>1400</v>
      </c>
      <c r="G12" s="7" t="n">
        <v>2400</v>
      </c>
      <c r="H12" s="7" t="n">
        <v>3400</v>
      </c>
      <c r="I12" s="7" t="n">
        <v>4400</v>
      </c>
      <c r="J12" s="7" t="n">
        <v>5400</v>
      </c>
      <c r="K12" s="7" t="n">
        <v>6400</v>
      </c>
    </row>
    <row r="13" ht="15" customHeight="1">
      <c r="A13" s="4" t="inlineStr">
        <is>
          <t>矿物油</t>
        </is>
      </c>
      <c r="B13" s="4" t="inlineStr">
        <is>
          <t>POS24 C3R1</t>
        </is>
      </c>
      <c r="C13" s="4" t="inlineStr">
        <is>
          <t>8 mL管</t>
        </is>
      </c>
      <c r="D13" s="4" t="inlineStr">
        <is>
          <t>+320 µL</t>
        </is>
      </c>
      <c r="E13" s="4" t="inlineStr">
        <is>
          <t>按当前代码逻辑计算矿物油预分装总量</t>
        </is>
      </c>
      <c r="F13" s="7" t="n">
        <v>880</v>
      </c>
      <c r="G13" s="7" t="n">
        <v>1440</v>
      </c>
      <c r="H13" s="7" t="n">
        <v>2000</v>
      </c>
      <c r="I13" s="7" t="n">
        <v>2240</v>
      </c>
      <c r="J13" s="7" t="n">
        <v>2720</v>
      </c>
      <c r="K13" s="7" t="n">
        <v>3200</v>
      </c>
    </row>
    <row r="14" ht="15" customHeight="1">
      <c r="A14" s="4" t="inlineStr">
        <is>
          <t>80%乙醇</t>
        </is>
      </c>
      <c r="B14" s="4" t="inlineStr">
        <is>
          <t>POS3 reservoir</t>
        </is>
      </c>
      <c r="C14" s="4" t="inlineStr">
        <is>
          <t>50 mL储液槽</t>
        </is>
      </c>
      <c r="D14" s="4" t="inlineStr">
        <is>
          <t>+3200 µL</t>
        </is>
      </c>
      <c r="E14" s="4" t="inlineStr">
        <is>
          <t>195 × 5 × N</t>
        </is>
      </c>
      <c r="F14" s="7" t="n">
        <v>11000</v>
      </c>
      <c r="G14" s="7" t="n">
        <v>18800</v>
      </c>
      <c r="H14" s="7" t="n">
        <v>26600</v>
      </c>
      <c r="I14" s="7" t="n">
        <v>34400</v>
      </c>
      <c r="J14" s="7" t="n">
        <v>42200</v>
      </c>
      <c r="K14" s="7" t="n">
        <v>50000</v>
      </c>
    </row>
    <row r="15" ht="15" customHeight="1">
      <c r="A15" s="4" t="inlineStr">
        <is>
          <t>Qubit染液工作液</t>
        </is>
      </c>
      <c r="B15" s="4" t="inlineStr">
        <is>
          <t>POS4 C1R1</t>
        </is>
      </c>
      <c r="C15" s="4" t="inlineStr">
        <is>
          <t>50 mL储液槽</t>
        </is>
      </c>
      <c r="D15" s="4" t="inlineStr">
        <is>
          <t>+6510 µL</t>
        </is>
      </c>
      <c r="E15" s="4" t="inlineStr">
        <is>
          <t>单轮定量：217.8 × N + 6510 µL 试剂槽余量</t>
        </is>
      </c>
      <c r="F15" s="7">
        <f>CEILING(F$3*217.8+6510,5)</f>
        <v/>
      </c>
      <c r="G15" s="7">
        <f>CEILING(G$3*217.8+6510,5)</f>
        <v/>
      </c>
      <c r="H15" s="7">
        <f>CEILING(H$3*217.8+6510,5)</f>
        <v/>
      </c>
      <c r="I15" s="7">
        <f>CEILING(I$3*217.8+6510,5)</f>
        <v/>
      </c>
      <c r="J15" s="7">
        <f>CEILING(J$3*217.8+6510,5)</f>
        <v/>
      </c>
      <c r="K15" s="7">
        <f>CEILING(K$3*217.8+6510,5)</f>
        <v/>
      </c>
    </row>
    <row r="16" ht="35.75" customHeight="1">
      <c r="A16" t="inlineStr">
        <is>
          <t>T12 空白对照</t>
        </is>
      </c>
      <c r="B16" t="inlineStr">
        <is>
          <t>POS17 F1</t>
        </is>
      </c>
      <c r="C16" t="inlineStr">
        <is>
          <t>0.5 mL冻存管</t>
        </is>
      </c>
      <c r="D16" t="inlineStr">
        <is>
          <t>+6 µL</t>
        </is>
      </c>
      <c r="E16" t="inlineStr">
        <is>
          <t>14 × 空白对照数量 + 6（质控类型为B的样本数）</t>
        </is>
      </c>
      <c r="F16" t="inlineStr">
        <is>
          <t>14 × B + 6</t>
        </is>
      </c>
      <c r="G16" t="inlineStr">
        <is>
          <t>14 × B + 6</t>
        </is>
      </c>
      <c r="H16" t="inlineStr">
        <is>
          <t>14 × B + 6</t>
        </is>
      </c>
      <c r="I16" t="inlineStr">
        <is>
          <t>14 × B + 6</t>
        </is>
      </c>
      <c r="J16" t="inlineStr">
        <is>
          <t>14 × B + 6</t>
        </is>
      </c>
      <c r="K16" t="inlineStr">
        <is>
          <t>14 × B + 6</t>
        </is>
      </c>
    </row>
    <row r="17" ht="35.7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10" defaultColWidth="8.83203125" defaultRowHeight="14"/>
  <cols>
    <col width="23.6640625" customWidth="1" min="1" max="1"/>
    <col width="13.83203125" customWidth="1" min="2" max="2"/>
    <col width="17.5" customWidth="1" min="3" max="3"/>
    <col width="22.83203125" customWidth="1" min="4" max="4"/>
    <col width="7.5" customWidth="1" min="5" max="5"/>
    <col width="8.5" customWidth="1" min="6" max="10"/>
  </cols>
  <sheetData>
    <row r="1" ht="30" customHeight="1">
      <c r="A1" s="1" t="inlineStr">
        <is>
          <t>PTseq 代码理论消耗量（不含来源冗余，µL）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inlineStr">
        <is>
          <t>来源项目</t>
        </is>
      </c>
      <c r="B3" s="3" t="inlineStr">
        <is>
          <t>台面位置</t>
        </is>
      </c>
      <c r="C3" s="3" t="inlineStr">
        <is>
          <t>耗材假设</t>
        </is>
      </c>
      <c r="D3" s="3" t="inlineStr">
        <is>
          <t>计算依据</t>
        </is>
      </c>
      <c r="E3" s="3" t="n">
        <v>8</v>
      </c>
      <c r="F3" s="3" t="n">
        <v>16</v>
      </c>
      <c r="G3" s="3" t="n">
        <v>24</v>
      </c>
      <c r="H3" s="3" t="n">
        <v>32</v>
      </c>
      <c r="I3" s="3" t="n">
        <v>40</v>
      </c>
      <c r="J3" s="3" t="n">
        <v>48</v>
      </c>
    </row>
    <row r="4" ht="15" customHeight="1">
      <c r="A4" s="4" t="inlineStr">
        <is>
          <t>T1 cDNA引物</t>
        </is>
      </c>
      <c r="B4" s="4" t="inlineStr">
        <is>
          <t>POS17 C1R1</t>
        </is>
      </c>
      <c r="C4" s="4" t="inlineStr">
        <is>
          <t>0.5 mL冻存管</t>
        </is>
      </c>
      <c r="D4" s="4" t="inlineStr">
        <is>
          <t>2 × N</t>
        </is>
      </c>
      <c r="E4" s="7" t="n">
        <v>16</v>
      </c>
      <c r="F4" s="7" t="n">
        <v>32</v>
      </c>
      <c r="G4" s="7" t="n">
        <v>48</v>
      </c>
      <c r="H4" s="7" t="n">
        <v>64</v>
      </c>
      <c r="I4" s="7" t="n">
        <v>80</v>
      </c>
      <c r="J4" s="7" t="n">
        <v>96</v>
      </c>
    </row>
    <row r="5" ht="45" customHeight="1">
      <c r="A5" s="4" t="inlineStr">
        <is>
          <t>T2 cDNA缓冲液</t>
        </is>
      </c>
      <c r="B5" s="4" t="inlineStr">
        <is>
          <t>POS17 C2R1</t>
        </is>
      </c>
      <c r="C5" s="4" t="inlineStr">
        <is>
          <t>0.5 mL冻存管</t>
        </is>
      </c>
      <c r="D5" s="4" t="inlineStr">
        <is>
          <t>第9列反应液总量 / 2；&gt;16通量增加2个完整POS7中转孔上游冗余</t>
        </is>
      </c>
      <c r="E5" s="7" t="n">
        <v>23.5</v>
      </c>
      <c r="F5" s="7" t="n">
        <v>39.5</v>
      </c>
      <c r="G5" s="7" t="n">
        <v>167.5</v>
      </c>
      <c r="H5" s="7" t="n">
        <v>187.5</v>
      </c>
      <c r="I5" s="7" t="n">
        <v>207.5</v>
      </c>
      <c r="J5" s="7" t="n">
        <v>227.5</v>
      </c>
    </row>
    <row r="6" ht="45" customHeight="1">
      <c r="A6" s="4" t="inlineStr">
        <is>
          <t>T3 cDNA酶</t>
        </is>
      </c>
      <c r="B6" s="4" t="inlineStr">
        <is>
          <t>POS17 C3R1</t>
        </is>
      </c>
      <c r="C6" s="4" t="inlineStr">
        <is>
          <t>0.5 mL冻存管</t>
        </is>
      </c>
      <c r="D6" s="4" t="inlineStr">
        <is>
          <t>第9列反应液总量 / 2；&gt;16通量增加2个完整POS7中转孔上游冗余</t>
        </is>
      </c>
      <c r="E6" s="7" t="n">
        <v>23.5</v>
      </c>
      <c r="F6" s="7" t="n">
        <v>39.5</v>
      </c>
      <c r="G6" s="7" t="n">
        <v>167.5</v>
      </c>
      <c r="H6" s="7" t="n">
        <v>187.5</v>
      </c>
      <c r="I6" s="7" t="n">
        <v>207.5</v>
      </c>
      <c r="J6" s="7" t="n">
        <v>227.5</v>
      </c>
    </row>
    <row r="7" ht="45" customHeight="1">
      <c r="A7" s="4" t="inlineStr">
        <is>
          <t>T4 TA缓冲液</t>
        </is>
      </c>
      <c r="B7" s="4" t="inlineStr">
        <is>
          <t>POS17 C1R2</t>
        </is>
      </c>
      <c r="C7" s="4" t="inlineStr">
        <is>
          <t>2 mL管</t>
        </is>
      </c>
      <c r="D7" s="4" t="inlineStr">
        <is>
          <t>第10列反应液总量 × 5/15；&gt;16通量增加2个完整POS7中转孔上游冗余</t>
        </is>
      </c>
      <c r="E7" s="7" t="n">
        <v>48.33</v>
      </c>
      <c r="F7" s="7" t="n">
        <v>88.33</v>
      </c>
      <c r="G7" s="7" t="n">
        <v>225</v>
      </c>
      <c r="H7" s="7" t="n">
        <v>275</v>
      </c>
      <c r="I7" s="7" t="n">
        <v>325</v>
      </c>
      <c r="J7" s="7" t="n">
        <v>375</v>
      </c>
    </row>
    <row r="8" ht="45" customHeight="1">
      <c r="A8" s="4" t="inlineStr">
        <is>
          <t>T5 TA酶</t>
        </is>
      </c>
      <c r="B8" s="4" t="inlineStr">
        <is>
          <t>POS17 C2R2</t>
        </is>
      </c>
      <c r="C8" s="4" t="inlineStr">
        <is>
          <t>0.5 mL冻存管</t>
        </is>
      </c>
      <c r="D8" s="4" t="inlineStr">
        <is>
          <t>第10列反应液总量 × 3/15；&gt;16通量增加2个完整POS7中转孔上游冗余</t>
        </is>
      </c>
      <c r="E8" s="7" t="n">
        <v>29</v>
      </c>
      <c r="F8" s="7" t="n">
        <v>53</v>
      </c>
      <c r="G8" s="7" t="n">
        <v>135</v>
      </c>
      <c r="H8" s="7" t="n">
        <v>165</v>
      </c>
      <c r="I8" s="7" t="n">
        <v>195</v>
      </c>
      <c r="J8" s="7" t="n">
        <v>225</v>
      </c>
    </row>
    <row r="9" ht="45" customHeight="1">
      <c r="A9" s="4" t="inlineStr">
        <is>
          <t>T8 UDG酶</t>
        </is>
      </c>
      <c r="B9" s="4" t="inlineStr">
        <is>
          <t>POS17 C2R3</t>
        </is>
      </c>
      <c r="C9" s="4" t="inlineStr">
        <is>
          <t>2 mL管（手工预置C2R3）</t>
        </is>
      </c>
      <c r="D9" s="4" t="inlineStr">
        <is>
          <t>第11列反应液总量 × 1/30；总量&gt;1421 µL时T8留在C2R3</t>
        </is>
      </c>
      <c r="E9" s="7" t="n">
        <v>9</v>
      </c>
      <c r="F9" s="7" t="n">
        <v>17</v>
      </c>
      <c r="G9" s="7" t="n">
        <v>37.67</v>
      </c>
      <c r="H9" s="7" t="n">
        <v>47.67</v>
      </c>
      <c r="I9" s="7" t="n">
        <v>57.67</v>
      </c>
      <c r="J9" s="7" t="n">
        <v>67.67</v>
      </c>
    </row>
    <row r="10" ht="45" customHeight="1">
      <c r="A10" s="4" t="inlineStr">
        <is>
          <t>T7 LA/PCR Mix</t>
        </is>
      </c>
      <c r="B10" s="4" t="inlineStr">
        <is>
          <t>POS17 C1R3</t>
        </is>
      </c>
      <c r="C10" s="4" t="inlineStr">
        <is>
          <t>2 mL管</t>
        </is>
      </c>
      <c r="D10" s="4" t="inlineStr">
        <is>
          <t>第11列反应液总量 × 20/30；总量&gt;1421 µL时C2R3只配置T7+T8</t>
        </is>
      </c>
      <c r="E10" s="7" t="n">
        <v>180</v>
      </c>
      <c r="F10" s="7" t="n">
        <v>340</v>
      </c>
      <c r="G10" s="7" t="n">
        <v>753.33</v>
      </c>
      <c r="H10" s="7" t="n">
        <v>953.33</v>
      </c>
      <c r="I10" s="7" t="n">
        <v>1153.33</v>
      </c>
      <c r="J10" s="7" t="n">
        <v>1353.33</v>
      </c>
    </row>
    <row r="11" ht="45" customHeight="1">
      <c r="A11" s="4" t="inlineStr">
        <is>
          <t>T2缓冲液总量</t>
        </is>
      </c>
      <c r="B11" s="4" t="inlineStr">
        <is>
          <t>POS24 C1R2</t>
        </is>
      </c>
      <c r="C11" s="4" t="inlineStr">
        <is>
          <t>8 mL管</t>
        </is>
      </c>
      <c r="D11" s="4" t="inlineStr">
        <is>
          <t>仅建库阶段：TA T2 + POS7 Col7 T2 + LA/PCR T2；G99 pooling预算另计入试剂分装表</t>
        </is>
      </c>
      <c r="E11" s="7" t="n">
        <v>686.27</v>
      </c>
      <c r="F11" s="7" t="n">
        <v>1351.87</v>
      </c>
      <c r="G11" s="7" t="n">
        <v>2266.8</v>
      </c>
      <c r="H11" s="7" t="n">
        <v>2964.4</v>
      </c>
      <c r="I11" s="7" t="n">
        <v>3662</v>
      </c>
      <c r="J11" s="7" t="n">
        <v>4359.6</v>
      </c>
    </row>
    <row r="12" ht="30" customHeight="1">
      <c r="A12" s="4" t="inlineStr">
        <is>
          <t>磁珠总量</t>
        </is>
      </c>
      <c r="B12" s="4" t="inlineStr">
        <is>
          <t>POS24 C1R1</t>
        </is>
      </c>
      <c r="C12" s="4" t="inlineStr">
        <is>
          <t>8 mL管</t>
        </is>
      </c>
      <c r="D12" s="4" t="inlineStr">
        <is>
          <t>TA磁珠 50 × 1.4 × N + LA磁珠 55 × N</t>
        </is>
      </c>
      <c r="E12" s="7" t="n">
        <v>1000</v>
      </c>
      <c r="F12" s="7" t="n">
        <v>2000</v>
      </c>
      <c r="G12" s="7" t="n">
        <v>3000</v>
      </c>
      <c r="H12" s="7" t="n">
        <v>4000</v>
      </c>
      <c r="I12" s="7" t="n">
        <v>5000</v>
      </c>
      <c r="J12" s="7" t="n">
        <v>6000</v>
      </c>
    </row>
    <row r="13" ht="30" customHeight="1">
      <c r="A13" s="4" t="inlineStr">
        <is>
          <t>矿物油</t>
        </is>
      </c>
      <c r="B13" s="4" t="inlineStr">
        <is>
          <t>POS24 C3R1</t>
        </is>
      </c>
      <c r="C13" s="4" t="inlineStr">
        <is>
          <t>8 mL管</t>
        </is>
      </c>
      <c r="D13" s="4" t="inlineStr">
        <is>
          <t>按当前代码逻辑计算矿物油预分装总量</t>
        </is>
      </c>
      <c r="E13" s="7" t="n">
        <v>560</v>
      </c>
      <c r="F13" s="7" t="n">
        <v>1120</v>
      </c>
      <c r="G13" s="7" t="n">
        <v>1680</v>
      </c>
      <c r="H13" s="7" t="n">
        <v>1920</v>
      </c>
      <c r="I13" s="7" t="n">
        <v>2400</v>
      </c>
      <c r="J13" s="7" t="n">
        <v>2880</v>
      </c>
    </row>
    <row r="14" ht="15" customHeight="1">
      <c r="A14" s="4" t="inlineStr">
        <is>
          <t>80%乙醇</t>
        </is>
      </c>
      <c r="B14" s="4" t="inlineStr">
        <is>
          <t>POS3 reservoir</t>
        </is>
      </c>
      <c r="C14" s="4" t="inlineStr">
        <is>
          <t>50 mL储液槽</t>
        </is>
      </c>
      <c r="D14" s="4" t="inlineStr">
        <is>
          <t>195 × 5 × N</t>
        </is>
      </c>
      <c r="E14" s="7" t="n">
        <v>7800</v>
      </c>
      <c r="F14" s="7" t="n">
        <v>15600</v>
      </c>
      <c r="G14" s="7" t="n">
        <v>23400</v>
      </c>
      <c r="H14" s="7" t="n">
        <v>31200</v>
      </c>
      <c r="I14" s="7" t="n">
        <v>39000</v>
      </c>
      <c r="J14" s="7" t="n">
        <v>46800</v>
      </c>
    </row>
    <row r="15" ht="15" customHeight="1">
      <c r="A15" s="4" t="inlineStr">
        <is>
          <t>Qubit染液工作液</t>
        </is>
      </c>
      <c r="B15" s="4" t="inlineStr">
        <is>
          <t>POS4 C1R1</t>
        </is>
      </c>
      <c r="C15" s="4" t="inlineStr">
        <is>
          <t>50 mL储液槽</t>
        </is>
      </c>
      <c r="D15" s="4" t="inlineStr">
        <is>
          <t>单轮定量：217.8 × N</t>
        </is>
      </c>
      <c r="E15" s="7">
        <f>E$3*217.8</f>
        <v/>
      </c>
      <c r="F15" s="7">
        <f>F$3*217.8</f>
        <v/>
      </c>
      <c r="G15" s="7">
        <f>G$3*217.8</f>
        <v/>
      </c>
      <c r="H15" s="7">
        <f>H$3*217.8</f>
        <v/>
      </c>
      <c r="I15" s="7">
        <f>I$3*217.8</f>
        <v/>
      </c>
      <c r="J15" s="7">
        <f>J$3*217.8</f>
        <v/>
      </c>
    </row>
    <row r="16" ht="35.75" customHeight="1">
      <c r="A16" t="inlineStr">
        <is>
          <t>T12 空白对照</t>
        </is>
      </c>
      <c r="B16" t="inlineStr">
        <is>
          <t>POS17 F1</t>
        </is>
      </c>
      <c r="C16" t="inlineStr">
        <is>
          <t>0.5 mL冻存管</t>
        </is>
      </c>
      <c r="D16" t="inlineStr">
        <is>
          <t>14 × 空白对照数量（质控类型为B的样本数）</t>
        </is>
      </c>
      <c r="E16" t="inlineStr">
        <is>
          <t>14 × B</t>
        </is>
      </c>
      <c r="F16" t="inlineStr">
        <is>
          <t>14 × B</t>
        </is>
      </c>
      <c r="G16" t="inlineStr">
        <is>
          <t>14 × B</t>
        </is>
      </c>
      <c r="H16" t="inlineStr">
        <is>
          <t>14 × B</t>
        </is>
      </c>
      <c r="I16" t="inlineStr">
        <is>
          <t>14 × B</t>
        </is>
      </c>
      <c r="J16" t="inlineStr">
        <is>
          <t>14 × B</t>
        </is>
      </c>
    </row>
    <row r="17" ht="35.7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10" defaultColWidth="8.83203125" defaultRowHeight="14"/>
  <cols>
    <col width="18.1640625" customWidth="1" min="1" max="1"/>
    <col width="20.6640625" customWidth="1" min="2" max="2"/>
    <col width="19" customWidth="1" min="3" max="3"/>
    <col width="12.33203125" customWidth="1" min="4" max="4"/>
    <col width="88.33203125" customWidth="1" min="5" max="5"/>
  </cols>
  <sheetData>
    <row r="1" ht="15" customHeight="1">
      <c r="A1" s="1" t="inlineStr">
        <is>
          <t>PTseq 计算明细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 ht="15" customHeight="1">
      <c r="A3" s="3" t="inlineStr">
        <is>
          <t>样本数</t>
        </is>
      </c>
      <c r="B3" s="3" t="inlineStr">
        <is>
          <t>环节</t>
        </is>
      </c>
      <c r="C3" s="3" t="inlineStr">
        <is>
          <t>项目</t>
        </is>
      </c>
      <c r="D3" s="3" t="inlineStr">
        <is>
          <t>体积（µL）</t>
        </is>
      </c>
      <c r="E3" s="3" t="inlineStr">
        <is>
          <t>公式/说明</t>
        </is>
      </c>
    </row>
    <row r="4" ht="15" customHeight="1">
      <c r="A4" s="4" t="n">
        <v>8</v>
      </c>
      <c r="B4" s="4" t="inlineStr">
        <is>
          <t>分支规则</t>
        </is>
      </c>
      <c r="C4" s="4" t="inlineStr">
        <is>
          <t>第9/10/11列反应液</t>
        </is>
      </c>
      <c r="D4" s="27" t="inlineStr">
        <is>
          <t>P1直接分装</t>
        </is>
      </c>
      <c r="E4" s="4" t="inlineStr">
        <is>
          <t>样本数≤16使用P1直接分装；样本数&gt;16使用POS7/P8中转。</t>
        </is>
      </c>
    </row>
    <row r="5" ht="15" customHeight="1">
      <c r="A5" s="4" t="n">
        <v>8</v>
      </c>
      <c r="B5" s="4" t="inlineStr">
        <is>
          <t>第9列 cDNA反应液</t>
        </is>
      </c>
      <c r="C5" s="4" t="inlineStr">
        <is>
          <t>混合管总量</t>
        </is>
      </c>
      <c r="D5" s="27" t="n">
        <v>47</v>
      </c>
      <c r="E5" s="4" t="inlineStr">
        <is>
          <t>直接分装：4 × N + 15；POS7/P8：sum(活跃列数 × 4 + 20) + 15 + 2 × max(POS7单孔体积)。</t>
        </is>
      </c>
    </row>
    <row r="6" ht="15" customHeight="1">
      <c r="A6" s="4" t="n">
        <v>8</v>
      </c>
      <c r="B6" s="4" t="inlineStr">
        <is>
          <t>第10列 TA反应液</t>
        </is>
      </c>
      <c r="C6" s="4" t="inlineStr">
        <is>
          <t>混合管总量</t>
        </is>
      </c>
      <c r="D6" s="27" t="n">
        <v>145</v>
      </c>
      <c r="E6" s="4" t="inlineStr">
        <is>
          <t>直接分装：15 × N + 25；POS7/P8：sum(活跃列数 × 15 + 20) + 25 + 2 × max(POS7单孔体积)。</t>
        </is>
      </c>
    </row>
    <row r="7" ht="30" customHeight="1">
      <c r="A7" s="4" t="n">
        <v>8</v>
      </c>
      <c r="B7" s="4" t="inlineStr">
        <is>
          <t>第11列 LA/PCR反应液</t>
        </is>
      </c>
      <c r="C7" s="4" t="inlineStr">
        <is>
          <t>混合管总量</t>
        </is>
      </c>
      <c r="D7" s="27" t="n">
        <v>270</v>
      </c>
      <c r="E7" s="4" t="inlineStr">
        <is>
          <t>直接分装：30 × N + 30；POS7/P8：sum(活跃列数 × 30 + 20) + 30 + 2 × max(POS7单孔体积)；总量&gt;1421 µL时C2R3只配置T7+T8。</t>
        </is>
      </c>
    </row>
    <row r="8" ht="15" customHeight="1">
      <c r="A8" s="4" t="n">
        <v>8</v>
      </c>
      <c r="B8" s="4" t="inlineStr">
        <is>
          <t>T2缓冲液共用来源</t>
        </is>
      </c>
      <c r="C8" s="4" t="inlineStr">
        <is>
          <t>TA T2组分</t>
        </is>
      </c>
      <c r="D8" s="27" t="n">
        <v>67.67</v>
      </c>
      <c r="E8" s="4" t="inlineStr">
        <is>
          <t>第10列反应液总量 × 7/15。</t>
        </is>
      </c>
    </row>
    <row r="9" ht="15" customHeight="1">
      <c r="A9" s="4" t="n">
        <v>8</v>
      </c>
      <c r="B9" s="4" t="inlineStr">
        <is>
          <t>T2缓冲液共用来源</t>
        </is>
      </c>
      <c r="C9" s="4" t="inlineStr">
        <is>
          <t>POS7 Col7 T2中转量</t>
        </is>
      </c>
      <c r="D9" s="27" t="n">
        <v>537.6</v>
      </c>
      <c r="E9" s="4" t="inlineStr">
        <is>
          <t>代码模式：48 × 1.4 × N。</t>
        </is>
      </c>
    </row>
    <row r="10" ht="15" customHeight="1">
      <c r="A10" s="4" t="n">
        <v>8</v>
      </c>
      <c r="B10" s="4" t="inlineStr">
        <is>
          <t>T2缓冲液共用来源</t>
        </is>
      </c>
      <c r="C10" s="4" t="inlineStr">
        <is>
          <t>LA/PCR T2组分</t>
        </is>
      </c>
      <c r="D10" s="27" t="n">
        <v>81</v>
      </c>
      <c r="E10" s="4" t="inlineStr">
        <is>
          <t>第11列反应液总量 × 9/30；总量&gt;1421 µL时T2直接加入POS7 Col11。</t>
        </is>
      </c>
    </row>
    <row r="11" ht="15" customHeight="1">
      <c r="A11" s="4" t="n">
        <v>8</v>
      </c>
      <c r="B11" s="4" t="inlineStr">
        <is>
          <t>Qubit染液</t>
        </is>
      </c>
      <c r="C11" s="4" t="inlineStr">
        <is>
          <t>POS4 C1R1分装量</t>
        </is>
      </c>
      <c r="D11" s="27">
        <f>A11*217.8*2+1500</f>
        <v/>
      </c>
      <c r="E11" s="4" t="inlineStr">
        <is>
          <t>两轮定量：2 × 217.8 µL/样本 + 1500 µL 50 mL储液槽死体积。</t>
        </is>
      </c>
    </row>
    <row r="12" ht="15" customHeight="1">
      <c r="A12" s="4" t="n">
        <v>16</v>
      </c>
      <c r="B12" s="4" t="inlineStr">
        <is>
          <t>分支规则</t>
        </is>
      </c>
      <c r="C12" s="4" t="inlineStr">
        <is>
          <t>第9/10/11列反应液</t>
        </is>
      </c>
      <c r="D12" s="27" t="inlineStr">
        <is>
          <t>P1直接分装</t>
        </is>
      </c>
      <c r="E12" s="4" t="inlineStr">
        <is>
          <t>样本数≤16使用P1直接分装；样本数&gt;16使用POS7/P8中转。</t>
        </is>
      </c>
    </row>
    <row r="13" ht="15" customHeight="1">
      <c r="A13" s="4" t="n">
        <v>16</v>
      </c>
      <c r="B13" s="4" t="inlineStr">
        <is>
          <t>第9列 cDNA反应液</t>
        </is>
      </c>
      <c r="C13" s="4" t="inlineStr">
        <is>
          <t>混合管总量</t>
        </is>
      </c>
      <c r="D13" s="27" t="n">
        <v>79</v>
      </c>
      <c r="E13" s="4" t="inlineStr">
        <is>
          <t>直接分装：4 × N + 15；POS7/P8：sum(活跃列数 × 4 + 20) + 15 + 2 × max(POS7单孔体积)。</t>
        </is>
      </c>
    </row>
    <row r="14" ht="15" customHeight="1">
      <c r="A14" s="4" t="n">
        <v>16</v>
      </c>
      <c r="B14" s="4" t="inlineStr">
        <is>
          <t>第10列 TA反应液</t>
        </is>
      </c>
      <c r="C14" s="4" t="inlineStr">
        <is>
          <t>混合管总量</t>
        </is>
      </c>
      <c r="D14" s="27" t="n">
        <v>265</v>
      </c>
      <c r="E14" s="4" t="inlineStr">
        <is>
          <t>直接分装：15 × N + 25；POS7/P8：sum(活跃列数 × 15 + 20) + 25 + 2 × max(POS7单孔体积)。</t>
        </is>
      </c>
    </row>
    <row r="15" ht="30" customHeight="1">
      <c r="A15" s="4" t="n">
        <v>16</v>
      </c>
      <c r="B15" s="4" t="inlineStr">
        <is>
          <t>第11列 LA/PCR反应液</t>
        </is>
      </c>
      <c r="C15" s="4" t="inlineStr">
        <is>
          <t>混合管总量</t>
        </is>
      </c>
      <c r="D15" s="27" t="n">
        <v>510</v>
      </c>
      <c r="E15" s="4" t="inlineStr">
        <is>
          <t>直接分装：30 × N + 30；POS7/P8：sum(活跃列数 × 30 + 20) + 30 + 2 × max(POS7单孔体积)；总量&gt;1421 µL时C2R3只配置T7+T8。</t>
        </is>
      </c>
    </row>
    <row r="16" ht="15" customHeight="1">
      <c r="A16" s="4" t="n">
        <v>16</v>
      </c>
      <c r="B16" s="4" t="inlineStr">
        <is>
          <t>T2缓冲液共用来源</t>
        </is>
      </c>
      <c r="C16" s="4" t="inlineStr">
        <is>
          <t>TA T2组分</t>
        </is>
      </c>
      <c r="D16" s="27" t="n">
        <v>123.67</v>
      </c>
      <c r="E16" s="4" t="inlineStr">
        <is>
          <t>第10列反应液总量 × 7/15。</t>
        </is>
      </c>
    </row>
    <row r="17" ht="15" customHeight="1">
      <c r="A17" s="4" t="n">
        <v>16</v>
      </c>
      <c r="B17" s="4" t="inlineStr">
        <is>
          <t>T2缓冲液共用来源</t>
        </is>
      </c>
      <c r="C17" s="4" t="inlineStr">
        <is>
          <t>POS7 Col7 T2中转量</t>
        </is>
      </c>
      <c r="D17" s="27" t="n">
        <v>1075.2</v>
      </c>
      <c r="E17" s="4" t="inlineStr">
        <is>
          <t>代码模式：48 × 1.4 × N。</t>
        </is>
      </c>
    </row>
    <row r="18" ht="15" customHeight="1">
      <c r="A18" s="4" t="n">
        <v>16</v>
      </c>
      <c r="B18" s="4" t="inlineStr">
        <is>
          <t>T2缓冲液共用来源</t>
        </is>
      </c>
      <c r="C18" s="4" t="inlineStr">
        <is>
          <t>LA/PCR T2组分</t>
        </is>
      </c>
      <c r="D18" s="27" t="n">
        <v>153</v>
      </c>
      <c r="E18" s="4" t="inlineStr">
        <is>
          <t>第11列反应液总量 × 9/30；总量&gt;1421 µL时T2直接加入POS7 Col11。</t>
        </is>
      </c>
    </row>
    <row r="19" ht="15" customHeight="1">
      <c r="A19" s="4" t="n">
        <v>16</v>
      </c>
      <c r="B19" s="4" t="inlineStr">
        <is>
          <t>Qubit染液</t>
        </is>
      </c>
      <c r="C19" s="4" t="inlineStr">
        <is>
          <t>POS4 C1R1分装量</t>
        </is>
      </c>
      <c r="D19" s="27">
        <f>A19*217.8*2+1500</f>
        <v/>
      </c>
      <c r="E19" s="4" t="inlineStr">
        <is>
          <t>两轮定量：2 × 217.8 µL/样本 + 1500 µL 50 mL储液槽死体积。</t>
        </is>
      </c>
    </row>
    <row r="20" ht="15" customHeight="1">
      <c r="A20" s="4" t="n">
        <v>24</v>
      </c>
      <c r="B20" s="4" t="inlineStr">
        <is>
          <t>分支规则</t>
        </is>
      </c>
      <c r="C20" s="4" t="inlineStr">
        <is>
          <t>第9/10/11列反应液</t>
        </is>
      </c>
      <c r="D20" s="27" t="inlineStr">
        <is>
          <t>POS7/P8中转</t>
        </is>
      </c>
      <c r="E20" s="4" t="inlineStr">
        <is>
          <t>样本数≤16使用P1直接分装；样本数&gt;16使用POS7/P8中转。</t>
        </is>
      </c>
    </row>
    <row r="21" ht="15" customHeight="1">
      <c r="A21" s="4" t="n">
        <v>24</v>
      </c>
      <c r="B21" s="4" t="inlineStr">
        <is>
          <t>第9列 cDNA反应液</t>
        </is>
      </c>
      <c r="C21" s="4" t="inlineStr">
        <is>
          <t>混合管总量</t>
        </is>
      </c>
      <c r="D21" s="27" t="n">
        <v>335</v>
      </c>
      <c r="E21" s="4" t="inlineStr">
        <is>
          <t>直接分装：4 × N + 15；POS7/P8：sum(活跃列数 × 4 + 20) + 15 + 2 × max(POS7单孔体积)。</t>
        </is>
      </c>
    </row>
    <row r="22" ht="15" customHeight="1">
      <c r="A22" s="4" t="n">
        <v>24</v>
      </c>
      <c r="B22" s="4" t="inlineStr">
        <is>
          <t>第10列 TA反应液</t>
        </is>
      </c>
      <c r="C22" s="4" t="inlineStr">
        <is>
          <t>混合管总量</t>
        </is>
      </c>
      <c r="D22" s="27" t="n">
        <v>675</v>
      </c>
      <c r="E22" s="4" t="inlineStr">
        <is>
          <t>直接分装：15 × N + 25；POS7/P8：sum(活跃列数 × 15 + 20) + 25 + 2 × max(POS7单孔体积)。</t>
        </is>
      </c>
    </row>
    <row r="23" ht="30" customHeight="1">
      <c r="A23" s="4" t="n">
        <v>24</v>
      </c>
      <c r="B23" s="4" t="inlineStr">
        <is>
          <t>第11列 LA/PCR反应液</t>
        </is>
      </c>
      <c r="C23" s="4" t="inlineStr">
        <is>
          <t>混合管总量</t>
        </is>
      </c>
      <c r="D23" s="27" t="n">
        <v>1130</v>
      </c>
      <c r="E23" s="4" t="inlineStr">
        <is>
          <t>直接分装：30 × N + 30；POS7/P8：sum(活跃列数 × 30 + 20) + 30 + 2 × max(POS7单孔体积)；总量&gt;1421 µL时C2R3只配置T7+T8。</t>
        </is>
      </c>
    </row>
    <row r="24" ht="15" customHeight="1">
      <c r="A24" s="4" t="n">
        <v>24</v>
      </c>
      <c r="B24" s="4" t="inlineStr">
        <is>
          <t>T2缓冲液共用来源</t>
        </is>
      </c>
      <c r="C24" s="4" t="inlineStr">
        <is>
          <t>TA T2组分</t>
        </is>
      </c>
      <c r="D24" s="27" t="n">
        <v>315</v>
      </c>
      <c r="E24" s="4" t="inlineStr">
        <is>
          <t>第10列反应液总量 × 7/15。</t>
        </is>
      </c>
    </row>
    <row r="25" ht="15" customHeight="1">
      <c r="A25" s="4" t="n">
        <v>24</v>
      </c>
      <c r="B25" s="4" t="inlineStr">
        <is>
          <t>T2缓冲液共用来源</t>
        </is>
      </c>
      <c r="C25" s="4" t="inlineStr">
        <is>
          <t>POS7 Col7 T2中转量</t>
        </is>
      </c>
      <c r="D25" s="27" t="n">
        <v>1612.8</v>
      </c>
      <c r="E25" s="4" t="inlineStr">
        <is>
          <t>代码模式：48 × 1.4 × N。</t>
        </is>
      </c>
    </row>
    <row r="26" ht="15" customHeight="1">
      <c r="A26" s="4" t="n">
        <v>24</v>
      </c>
      <c r="B26" s="4" t="inlineStr">
        <is>
          <t>T2缓冲液共用来源</t>
        </is>
      </c>
      <c r="C26" s="4" t="inlineStr">
        <is>
          <t>LA/PCR T2组分</t>
        </is>
      </c>
      <c r="D26" s="27" t="n">
        <v>339</v>
      </c>
      <c r="E26" s="4" t="inlineStr">
        <is>
          <t>第11列反应液总量 × 9/30；总量&gt;1421 µL时T2直接加入POS7 Col11。</t>
        </is>
      </c>
    </row>
    <row r="27" ht="15" customHeight="1">
      <c r="A27" s="4" t="n">
        <v>24</v>
      </c>
      <c r="B27" s="4" t="inlineStr">
        <is>
          <t>Qubit染液</t>
        </is>
      </c>
      <c r="C27" s="4" t="inlineStr">
        <is>
          <t>POS4 C1R1分装量</t>
        </is>
      </c>
      <c r="D27" s="27">
        <f>A27*217.8*2+1500</f>
        <v/>
      </c>
      <c r="E27" s="4" t="inlineStr">
        <is>
          <t>两轮定量：2 × 217.8 µL/样本 + 1500 µL 50 mL储液槽死体积。</t>
        </is>
      </c>
    </row>
    <row r="28" ht="15" customHeight="1">
      <c r="A28" s="4" t="n">
        <v>32</v>
      </c>
      <c r="B28" s="4" t="inlineStr">
        <is>
          <t>分支规则</t>
        </is>
      </c>
      <c r="C28" s="4" t="inlineStr">
        <is>
          <t>第9/10/11列反应液</t>
        </is>
      </c>
      <c r="D28" s="27" t="inlineStr">
        <is>
          <t>POS7/P8中转</t>
        </is>
      </c>
      <c r="E28" s="4" t="inlineStr">
        <is>
          <t>样本数≤16使用P1直接分装；样本数&gt;16使用POS7/P8中转。</t>
        </is>
      </c>
    </row>
    <row r="29" ht="15" customHeight="1">
      <c r="A29" s="4" t="n">
        <v>32</v>
      </c>
      <c r="B29" s="4" t="inlineStr">
        <is>
          <t>第9列 cDNA反应液</t>
        </is>
      </c>
      <c r="C29" s="4" t="inlineStr">
        <is>
          <t>混合管总量</t>
        </is>
      </c>
      <c r="D29" s="27" t="n">
        <v>375</v>
      </c>
      <c r="E29" s="4" t="inlineStr">
        <is>
          <t>直接分装：4 × N + 15；POS7/P8：sum(活跃列数 × 4 + 20) + 15 + 2 × max(POS7单孔体积)。</t>
        </is>
      </c>
    </row>
    <row r="30" ht="15" customHeight="1">
      <c r="A30" s="4" t="n">
        <v>32</v>
      </c>
      <c r="B30" s="4" t="inlineStr">
        <is>
          <t>第10列 TA反应液</t>
        </is>
      </c>
      <c r="C30" s="4" t="inlineStr">
        <is>
          <t>混合管总量</t>
        </is>
      </c>
      <c r="D30" s="27" t="n">
        <v>825</v>
      </c>
      <c r="E30" s="4" t="inlineStr">
        <is>
          <t>直接分装：15 × N + 25；POS7/P8：sum(活跃列数 × 15 + 20) + 25 + 2 × max(POS7单孔体积)。</t>
        </is>
      </c>
    </row>
    <row r="31" ht="30" customHeight="1">
      <c r="A31" s="4" t="n">
        <v>32</v>
      </c>
      <c r="B31" s="4" t="inlineStr">
        <is>
          <t>第11列 LA/PCR反应液</t>
        </is>
      </c>
      <c r="C31" s="4" t="inlineStr">
        <is>
          <t>混合管总量</t>
        </is>
      </c>
      <c r="D31" s="27" t="n">
        <v>1430</v>
      </c>
      <c r="E31" s="4" t="inlineStr">
        <is>
          <t>直接分装：30 × N + 30；POS7/P8：sum(活跃列数 × 30 + 20) + 30 + 2 × max(POS7单孔体积)；总量&gt;1421 µL时C2R3只配置T7+T8。</t>
        </is>
      </c>
    </row>
    <row r="32" ht="15" customHeight="1">
      <c r="A32" s="4" t="n">
        <v>32</v>
      </c>
      <c r="B32" s="4" t="inlineStr">
        <is>
          <t>T2缓冲液共用来源</t>
        </is>
      </c>
      <c r="C32" s="4" t="inlineStr">
        <is>
          <t>TA T2组分</t>
        </is>
      </c>
      <c r="D32" s="27" t="n">
        <v>385</v>
      </c>
      <c r="E32" s="4" t="inlineStr">
        <is>
          <t>第10列反应液总量 × 7/15。</t>
        </is>
      </c>
    </row>
    <row r="33" ht="15" customHeight="1">
      <c r="A33" s="4" t="n">
        <v>32</v>
      </c>
      <c r="B33" s="4" t="inlineStr">
        <is>
          <t>T2缓冲液共用来源</t>
        </is>
      </c>
      <c r="C33" s="4" t="inlineStr">
        <is>
          <t>POS7 Col7 T2中转量</t>
        </is>
      </c>
      <c r="D33" s="27" t="n">
        <v>2150.4</v>
      </c>
      <c r="E33" s="4" t="inlineStr">
        <is>
          <t>代码模式：48 × 1.4 × N。</t>
        </is>
      </c>
    </row>
    <row r="34" ht="15" customHeight="1">
      <c r="A34" s="4" t="n">
        <v>32</v>
      </c>
      <c r="B34" s="4" t="inlineStr">
        <is>
          <t>T2缓冲液共用来源</t>
        </is>
      </c>
      <c r="C34" s="4" t="inlineStr">
        <is>
          <t>LA/PCR T2组分</t>
        </is>
      </c>
      <c r="D34" s="27" t="n">
        <v>429</v>
      </c>
      <c r="E34" s="4" t="inlineStr">
        <is>
          <t>第11列反应液总量 × 9/30；总量&gt;1421 µL时T2直接加入POS7 Col11。</t>
        </is>
      </c>
    </row>
    <row r="35" ht="15" customHeight="1">
      <c r="A35" s="4" t="n">
        <v>32</v>
      </c>
      <c r="B35" s="4" t="inlineStr">
        <is>
          <t>Qubit染液</t>
        </is>
      </c>
      <c r="C35" s="4" t="inlineStr">
        <is>
          <t>POS4 C1R1分装量</t>
        </is>
      </c>
      <c r="D35" s="27">
        <f>A35*217.8*2+1500</f>
        <v/>
      </c>
      <c r="E35" s="4" t="inlineStr">
        <is>
          <t>两轮定量：2 × 217.8 µL/样本 + 1500 µL 50 mL储液槽死体积。</t>
        </is>
      </c>
    </row>
    <row r="36" ht="15" customHeight="1">
      <c r="A36" s="4" t="n">
        <v>40</v>
      </c>
      <c r="B36" s="4" t="inlineStr">
        <is>
          <t>分支规则</t>
        </is>
      </c>
      <c r="C36" s="4" t="inlineStr">
        <is>
          <t>第9/10/11列反应液</t>
        </is>
      </c>
      <c r="D36" s="27" t="inlineStr">
        <is>
          <t>POS7/P8中转</t>
        </is>
      </c>
      <c r="E36" s="4" t="inlineStr">
        <is>
          <t>样本数≤16使用P1直接分装；样本数&gt;16使用POS7/P8中转。</t>
        </is>
      </c>
    </row>
    <row r="37" ht="15" customHeight="1">
      <c r="A37" s="4" t="n">
        <v>40</v>
      </c>
      <c r="B37" s="4" t="inlineStr">
        <is>
          <t>第9列 cDNA反应液</t>
        </is>
      </c>
      <c r="C37" s="4" t="inlineStr">
        <is>
          <t>混合管总量</t>
        </is>
      </c>
      <c r="D37" s="27" t="n">
        <v>415</v>
      </c>
      <c r="E37" s="4" t="inlineStr">
        <is>
          <t>直接分装：4 × N + 15；POS7/P8：sum(活跃列数 × 4 + 20) + 15 + 2 × max(POS7单孔体积)。</t>
        </is>
      </c>
    </row>
    <row r="38" ht="15" customHeight="1">
      <c r="A38" s="4" t="n">
        <v>40</v>
      </c>
      <c r="B38" s="4" t="inlineStr">
        <is>
          <t>第10列 TA反应液</t>
        </is>
      </c>
      <c r="C38" s="4" t="inlineStr">
        <is>
          <t>混合管总量</t>
        </is>
      </c>
      <c r="D38" s="27" t="n">
        <v>975</v>
      </c>
      <c r="E38" s="4" t="inlineStr">
        <is>
          <t>直接分装：15 × N + 25；POS7/P8：sum(活跃列数 × 15 + 20) + 25 + 2 × max(POS7单孔体积)。</t>
        </is>
      </c>
    </row>
    <row r="39" ht="30" customHeight="1">
      <c r="A39" s="4" t="n">
        <v>40</v>
      </c>
      <c r="B39" s="4" t="inlineStr">
        <is>
          <t>第11列 LA/PCR反应液</t>
        </is>
      </c>
      <c r="C39" s="4" t="inlineStr">
        <is>
          <t>混合管总量</t>
        </is>
      </c>
      <c r="D39" s="27" t="n">
        <v>1730</v>
      </c>
      <c r="E39" s="4" t="inlineStr">
        <is>
          <t>直接分装：30 × N + 30；POS7/P8：sum(活跃列数 × 30 + 20) + 30 + 2 × max(POS7单孔体积)；总量&gt;1421 µL时C2R3只配置T7+T8。</t>
        </is>
      </c>
    </row>
    <row r="40" ht="15" customHeight="1">
      <c r="A40" s="4" t="n">
        <v>40</v>
      </c>
      <c r="B40" s="4" t="inlineStr">
        <is>
          <t>T2缓冲液共用来源</t>
        </is>
      </c>
      <c r="C40" s="4" t="inlineStr">
        <is>
          <t>TA T2组分</t>
        </is>
      </c>
      <c r="D40" s="27" t="n">
        <v>455</v>
      </c>
      <c r="E40" s="4" t="inlineStr">
        <is>
          <t>第10列反应液总量 × 7/15。</t>
        </is>
      </c>
    </row>
    <row r="41" ht="15" customHeight="1">
      <c r="A41" s="4" t="n">
        <v>40</v>
      </c>
      <c r="B41" s="4" t="inlineStr">
        <is>
          <t>T2缓冲液共用来源</t>
        </is>
      </c>
      <c r="C41" s="4" t="inlineStr">
        <is>
          <t>POS7 Col7 T2中转量</t>
        </is>
      </c>
      <c r="D41" s="27" t="n">
        <v>2688</v>
      </c>
      <c r="E41" s="4" t="inlineStr">
        <is>
          <t>代码模式：48 × 1.4 × N。</t>
        </is>
      </c>
    </row>
    <row r="42" ht="15" customHeight="1">
      <c r="A42" s="4" t="n">
        <v>40</v>
      </c>
      <c r="B42" s="4" t="inlineStr">
        <is>
          <t>T2缓冲液共用来源</t>
        </is>
      </c>
      <c r="C42" s="4" t="inlineStr">
        <is>
          <t>LA/PCR T2组分</t>
        </is>
      </c>
      <c r="D42" s="27" t="n">
        <v>519</v>
      </c>
      <c r="E42" s="4" t="inlineStr">
        <is>
          <t>第11列反应液总量 × 9/30；总量&gt;1421 µL时T2直接加入POS7 Col11。</t>
        </is>
      </c>
    </row>
    <row r="43" ht="15" customHeight="1">
      <c r="A43" s="4" t="n">
        <v>40</v>
      </c>
      <c r="B43" s="4" t="inlineStr">
        <is>
          <t>Qubit染液</t>
        </is>
      </c>
      <c r="C43" s="4" t="inlineStr">
        <is>
          <t>POS4 C1R1分装量</t>
        </is>
      </c>
      <c r="D43" s="27">
        <f>A43*217.8*2+1500</f>
        <v/>
      </c>
      <c r="E43" s="4" t="inlineStr">
        <is>
          <t>两轮定量：2 × 217.8 µL/样本 + 1500 µL 50 mL储液槽死体积。</t>
        </is>
      </c>
    </row>
    <row r="44" ht="15" customHeight="1">
      <c r="A44" s="4" t="n">
        <v>48</v>
      </c>
      <c r="B44" s="4" t="inlineStr">
        <is>
          <t>分支规则</t>
        </is>
      </c>
      <c r="C44" s="4" t="inlineStr">
        <is>
          <t>第9/10/11列反应液</t>
        </is>
      </c>
      <c r="D44" s="27" t="inlineStr">
        <is>
          <t>POS7/P8中转</t>
        </is>
      </c>
      <c r="E44" s="4" t="inlineStr">
        <is>
          <t>样本数≤16使用P1直接分装；样本数&gt;16使用POS7/P8中转。</t>
        </is>
      </c>
    </row>
    <row r="45" ht="15" customHeight="1">
      <c r="A45" s="4" t="n">
        <v>48</v>
      </c>
      <c r="B45" s="4" t="inlineStr">
        <is>
          <t>第9列 cDNA反应液</t>
        </is>
      </c>
      <c r="C45" s="4" t="inlineStr">
        <is>
          <t>混合管总量</t>
        </is>
      </c>
      <c r="D45" s="27" t="n">
        <v>455</v>
      </c>
      <c r="E45" s="4" t="inlineStr">
        <is>
          <t>直接分装：4 × N + 15；POS7/P8：sum(活跃列数 × 4 + 20) + 15 + 2 × max(POS7单孔体积)。</t>
        </is>
      </c>
    </row>
    <row r="46" ht="15" customHeight="1">
      <c r="A46" s="4" t="n">
        <v>48</v>
      </c>
      <c r="B46" s="4" t="inlineStr">
        <is>
          <t>第10列 TA反应液</t>
        </is>
      </c>
      <c r="C46" s="4" t="inlineStr">
        <is>
          <t>混合管总量</t>
        </is>
      </c>
      <c r="D46" s="27" t="n">
        <v>1125</v>
      </c>
      <c r="E46" s="4" t="inlineStr">
        <is>
          <t>直接分装：15 × N + 25；POS7/P8：sum(活跃列数 × 15 + 20) + 25 + 2 × max(POS7单孔体积)。</t>
        </is>
      </c>
    </row>
    <row r="47" ht="30" customHeight="1">
      <c r="A47" s="4" t="n">
        <v>48</v>
      </c>
      <c r="B47" s="4" t="inlineStr">
        <is>
          <t>第11列 LA/PCR反应液</t>
        </is>
      </c>
      <c r="C47" s="4" t="inlineStr">
        <is>
          <t>混合管总量</t>
        </is>
      </c>
      <c r="D47" s="27" t="n">
        <v>2030</v>
      </c>
      <c r="E47" s="4" t="inlineStr">
        <is>
          <t>直接分装：30 × N + 30；POS7/P8：sum(活跃列数 × 30 + 20) + 30 + 2 × max(POS7单孔体积)；总量&gt;1421 µL时C2R3只配置T7+T8。</t>
        </is>
      </c>
    </row>
    <row r="48" ht="15" customHeight="1">
      <c r="A48" s="4" t="n">
        <v>48</v>
      </c>
      <c r="B48" s="4" t="inlineStr">
        <is>
          <t>T2缓冲液共用来源</t>
        </is>
      </c>
      <c r="C48" s="4" t="inlineStr">
        <is>
          <t>TA T2组分</t>
        </is>
      </c>
      <c r="D48" s="27" t="n">
        <v>525</v>
      </c>
      <c r="E48" s="4" t="inlineStr">
        <is>
          <t>第10列反应液总量 × 7/15。</t>
        </is>
      </c>
    </row>
    <row r="49" ht="15" customHeight="1">
      <c r="A49" s="4" t="n">
        <v>48</v>
      </c>
      <c r="B49" s="4" t="inlineStr">
        <is>
          <t>T2缓冲液共用来源</t>
        </is>
      </c>
      <c r="C49" s="4" t="inlineStr">
        <is>
          <t>POS7 Col7 T2中转量</t>
        </is>
      </c>
      <c r="D49" s="27" t="n">
        <v>3225.6</v>
      </c>
      <c r="E49" s="4" t="inlineStr">
        <is>
          <t>代码模式：48 × 1.4 × N。</t>
        </is>
      </c>
    </row>
    <row r="50" ht="15" customHeight="1">
      <c r="A50" s="4" t="n">
        <v>48</v>
      </c>
      <c r="B50" s="4" t="inlineStr">
        <is>
          <t>T2缓冲液共用来源</t>
        </is>
      </c>
      <c r="C50" s="4" t="inlineStr">
        <is>
          <t>LA/PCR T2组分</t>
        </is>
      </c>
      <c r="D50" s="27" t="n">
        <v>609</v>
      </c>
      <c r="E50" s="4" t="inlineStr">
        <is>
          <t>第11列反应液总量 × 9/30；总量&gt;1421 µL时T2直接加入POS7 Col11。</t>
        </is>
      </c>
    </row>
    <row r="51" ht="15" customHeight="1">
      <c r="A51" s="4" t="n">
        <v>48</v>
      </c>
      <c r="B51" s="4" t="inlineStr">
        <is>
          <t>Qubit染液</t>
        </is>
      </c>
      <c r="C51" s="4" t="inlineStr">
        <is>
          <t>POS4 C1R1分装量</t>
        </is>
      </c>
      <c r="D51" s="27">
        <f>A51*217.8*2+1500</f>
        <v/>
      </c>
      <c r="E51" s="4" t="inlineStr">
        <is>
          <t>两轮定量：2 × 217.8 µL/样本 + 1500 µL 50 mL储液槽死体积。</t>
        </is>
      </c>
    </row>
    <row r="52" ht="35.75" customHeight="1">
      <c r="A52" t="n">
        <v>8</v>
      </c>
      <c r="B52" t="inlineStr">
        <is>
          <t>提取产物均一化</t>
        </is>
      </c>
      <c r="C52" t="inlineStr">
        <is>
          <t>无核酸水最大代码消耗</t>
        </is>
      </c>
      <c r="D52" s="28">
        <f>A52*27</f>
        <v/>
      </c>
      <c r="E52" t="inlineStr">
        <is>
          <t>目标30 µL；最低取样3 µL，因此单样本最大补水27 µL；实际补水由实测浓度决定。</t>
        </is>
      </c>
    </row>
    <row r="53" ht="71" customHeight="1">
      <c r="A53" t="n">
        <v>16</v>
      </c>
      <c r="B53" t="inlineStr">
        <is>
          <t>提取产物均一化</t>
        </is>
      </c>
      <c r="C53" t="inlineStr">
        <is>
          <t>无核酸水最大代码消耗</t>
        </is>
      </c>
      <c r="D53" s="28">
        <f>A53*27</f>
        <v/>
      </c>
      <c r="E53" t="inlineStr">
        <is>
          <t>目标30 µL；最低取样3 µL，因此单样本最大补水27 µL；实际补水由实测浓度决定。</t>
        </is>
      </c>
    </row>
    <row r="54" ht="71" customHeight="1">
      <c r="A54" t="n">
        <v>24</v>
      </c>
      <c r="B54" t="inlineStr">
        <is>
          <t>提取产物均一化</t>
        </is>
      </c>
      <c r="C54" t="inlineStr">
        <is>
          <t>无核酸水最大代码消耗</t>
        </is>
      </c>
      <c r="D54" s="28">
        <f>A54*27</f>
        <v/>
      </c>
      <c r="E54" t="inlineStr">
        <is>
          <t>目标30 µL；最低取样3 µL，因此单样本最大补水27 µL；实际补水由实测浓度决定。</t>
        </is>
      </c>
    </row>
    <row r="55" ht="106.75" customHeight="1">
      <c r="A55" t="n">
        <v>32</v>
      </c>
      <c r="B55" t="inlineStr">
        <is>
          <t>提取产物均一化</t>
        </is>
      </c>
      <c r="C55" t="inlineStr">
        <is>
          <t>无核酸水最大代码消耗</t>
        </is>
      </c>
      <c r="D55" s="28">
        <f>A55*27</f>
        <v/>
      </c>
      <c r="E55" t="inlineStr">
        <is>
          <t>目标30 µL；最低取样3 µL，因此单样本最大补水27 µL；实际补水由实测浓度决定。</t>
        </is>
      </c>
    </row>
    <row r="56" ht="106.75" customHeight="1">
      <c r="A56" t="n">
        <v>40</v>
      </c>
      <c r="B56" t="inlineStr">
        <is>
          <t>提取产物均一化</t>
        </is>
      </c>
      <c r="C56" t="inlineStr">
        <is>
          <t>无核酸水最大代码消耗</t>
        </is>
      </c>
      <c r="D56" s="28">
        <f>A56*27</f>
        <v/>
      </c>
      <c r="E56" t="inlineStr">
        <is>
          <t>目标30 µL；最低取样3 µL，因此单样本最大补水27 µL；实际补水由实测浓度决定。</t>
        </is>
      </c>
    </row>
    <row r="57" ht="106.75" customHeight="1">
      <c r="A57" t="n">
        <v>48</v>
      </c>
      <c r="B57" t="inlineStr">
        <is>
          <t>提取产物均一化</t>
        </is>
      </c>
      <c r="C57" t="inlineStr">
        <is>
          <t>无核酸水最大代码消耗</t>
        </is>
      </c>
      <c r="D57" s="28">
        <f>A57*27</f>
        <v/>
      </c>
      <c r="E57" t="inlineStr">
        <is>
          <t>目标30 µL；最低取样3 µL，因此单样本最大补水27 µL；实际补水由实测浓度决定。</t>
        </is>
      </c>
    </row>
    <row r="58" ht="35.75" customHeight="1">
      <c r="A58" t="n">
        <v>8</v>
      </c>
      <c r="B58" t="inlineStr">
        <is>
          <t>G99 pooling T2预算</t>
        </is>
      </c>
      <c r="C58" t="inlineStr">
        <is>
          <t>50%样本8倍预稀释 + 动态补液上限</t>
        </is>
      </c>
      <c r="D58" t="n">
        <v>472</v>
      </c>
      <c r="E58" t="inlineStr">
        <is>
          <t>14 × 4 + (384 - 2 × 8) + 48 = 472；包含一半样本预稀释、pooling管补液上限及DNB孔补液上限。</t>
        </is>
      </c>
    </row>
    <row r="59" ht="35.75" customHeight="1">
      <c r="A59" t="n">
        <v>16</v>
      </c>
      <c r="B59" t="inlineStr">
        <is>
          <t>G99 pooling T2预算</t>
        </is>
      </c>
      <c r="C59" t="inlineStr">
        <is>
          <t>50%样本8倍预稀释 + 动态补液上限</t>
        </is>
      </c>
      <c r="D59" t="n">
        <v>512</v>
      </c>
      <c r="E59" t="inlineStr">
        <is>
          <t>14 × 8 + (384 - 2 × 16) + 48 = 512；包含一半样本预稀释、pooling管补液上限及DNB孔补液上限。</t>
        </is>
      </c>
    </row>
    <row r="60" ht="35.75" customHeight="1">
      <c r="A60" t="n">
        <v>24</v>
      </c>
      <c r="B60" t="inlineStr">
        <is>
          <t>G99 pooling T2预算</t>
        </is>
      </c>
      <c r="C60" t="inlineStr">
        <is>
          <t>50%样本8倍预稀释 + 动态补液上限</t>
        </is>
      </c>
      <c r="D60" t="n">
        <v>552</v>
      </c>
      <c r="E60" t="inlineStr">
        <is>
          <t>14 × 12 + (384 - 2 × 24) + 48 = 552；包含一半样本预稀释、pooling管补液上限及DNB孔补液上限。</t>
        </is>
      </c>
    </row>
    <row r="61" ht="35.75" customHeight="1">
      <c r="A61" t="n">
        <v>32</v>
      </c>
      <c r="B61" t="inlineStr">
        <is>
          <t>G99 pooling T2预算</t>
        </is>
      </c>
      <c r="C61" t="inlineStr">
        <is>
          <t>50%样本8倍预稀释 + 动态补液上限</t>
        </is>
      </c>
      <c r="D61" t="n">
        <v>592</v>
      </c>
      <c r="E61" t="inlineStr">
        <is>
          <t>14 × 16 + (384 - 2 × 32) + 48 = 592；包含一半样本预稀释、pooling管补液上限及DNB孔补液上限。</t>
        </is>
      </c>
    </row>
    <row r="62" ht="35.75" customHeight="1">
      <c r="A62" t="n">
        <v>40</v>
      </c>
      <c r="B62" t="inlineStr">
        <is>
          <t>G99 pooling T2预算</t>
        </is>
      </c>
      <c r="C62" t="inlineStr">
        <is>
          <t>50%样本8倍预稀释 + 动态补液上限</t>
        </is>
      </c>
      <c r="D62" t="n">
        <v>632</v>
      </c>
      <c r="E62" t="inlineStr">
        <is>
          <t>14 × 20 + (384 - 2 × 40) + 48 = 632；包含一半样本预稀释、pooling管补液上限及DNB孔补液上限。</t>
        </is>
      </c>
    </row>
    <row r="63" ht="71" customHeight="1">
      <c r="A63" t="n">
        <v>48</v>
      </c>
      <c r="B63" t="inlineStr">
        <is>
          <t>G99 pooling T2预算</t>
        </is>
      </c>
      <c r="C63" t="inlineStr">
        <is>
          <t>50%样本8倍预稀释 + 动态补液上限</t>
        </is>
      </c>
      <c r="D63" t="n">
        <v>672</v>
      </c>
      <c r="E63" t="inlineStr">
        <is>
          <t>14 × 24 + (384 - 2 × 48) + 48 = 672；包含一半样本预稀释、pooling管补液上限及DNB孔补液上限。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ColWidth="8.83203125" defaultRowHeight="14"/>
  <cols>
    <col width="22.33203125" customWidth="1" min="1" max="1"/>
    <col width="143.5" customWidth="1" min="2" max="2"/>
  </cols>
  <sheetData>
    <row r="1" ht="15" customHeight="1">
      <c r="A1" s="1" t="inlineStr">
        <is>
          <t>PTseq 说明与验证记录</t>
        </is>
      </c>
      <c r="B1" s="2" t="n"/>
    </row>
    <row r="2">
      <c r="A2" s="2" t="n"/>
      <c r="B2" s="2" t="n"/>
    </row>
    <row r="3" ht="15" customHeight="1">
      <c r="A3" s="4" t="inlineStr">
        <is>
          <t>项目</t>
        </is>
      </c>
      <c r="B3" s="4" t="inlineStr">
        <is>
          <t>说明</t>
        </is>
      </c>
    </row>
    <row r="4" ht="15" customHeight="1">
      <c r="A4" s="4" t="inlineStr">
        <is>
          <t>范围</t>
        </is>
      </c>
      <c r="B4" s="4" t="inlineStr">
        <is>
          <t>当前表格覆盖 cDNA、TA、LA/PCR、两轮磁珠纯化、矿物油、乙醇和 Qubit 定量所需来源试剂分装；T2缓冲液额外包含G99 pooling预算，其他pooling/makeDNB试剂不包含。</t>
        </is>
      </c>
    </row>
    <row r="5" ht="15" customHeight="1">
      <c r="A5" s="4" t="inlineStr">
        <is>
          <t>分支规则</t>
        </is>
      </c>
      <c r="B5" s="4" t="inlineStr">
        <is>
          <t>样本数≤16时，第9/10/11列反应液使用低通量P1直接分装；样本数&gt;16时使用POS7/P8中转。</t>
        </is>
      </c>
    </row>
    <row r="6" ht="15" customHeight="1">
      <c r="A6" s="4" t="inlineStr">
        <is>
          <t>来源死体积规则</t>
        </is>
      </c>
      <c r="B6" s="4" t="inlineStr">
        <is>
          <t>0.5 mL管 +6 µL；2 mL管 +15 µL；8 mL管通常 +320 µL；磁珠总量特例 +400 µL；50 mL储液槽 +1500 µL。</t>
        </is>
      </c>
    </row>
    <row r="7" ht="15" customHeight="1">
      <c r="A7" s="4" t="inlineStr">
        <is>
          <t>POS7封顶曲线</t>
        </is>
      </c>
      <c r="B7" s="4" t="inlineStr">
        <is>
          <t>POS7反应液中转孔仍按：活跃下游列数 × 单次吸取体积 + 20 µL总冗余；样本数&gt;16时，上游mixing tube另增加2个完整POS7中转孔的体积。</t>
        </is>
      </c>
    </row>
    <row r="8" ht="15" customHeight="1">
      <c r="A8" s="4" t="inlineStr">
        <is>
          <t>混合管死体积</t>
        </is>
      </c>
      <c r="B8" s="4" t="inlineStr">
        <is>
          <t>POS17 Col4 Row1 cDNA混合管基础死体积15 µL；POS17 Col4 Row2 TA混合管25 µL；POS17 C2R3 LA/PCR混合管30 µL。样本数&gt;16时三者另加2个完整POS7中转孔上游冗余。</t>
        </is>
      </c>
    </row>
    <row r="9" ht="15" customHeight="1">
      <c r="A9" s="4" t="inlineStr">
        <is>
          <t>T2缓冲液共用来源</t>
        </is>
      </c>
      <c r="B9" s="4" t="inlineStr">
        <is>
          <t>POS24 C1R2合并建库阶段TA mix T2、POS7 Col7 T2中转量和LA/PCR mix T2；另按每批50%样本需要8倍预稀释，并覆盖pooling管与DNB孔动态补液上限，最后保留320 µL来源死体积。</t>
        </is>
      </c>
    </row>
    <row r="10" ht="15" customHeight="1">
      <c r="A10" s="4" t="inlineStr">
        <is>
          <t>乙醇</t>
        </is>
      </c>
      <c r="B10" s="4" t="inlineStr">
        <is>
          <t>POS3到POS7的乙醇预分装按每个活跃通道195 µL × 5轮计算，并额外加入50 mL储液槽余量。</t>
        </is>
      </c>
    </row>
    <row r="11" ht="15" customHeight="1">
      <c r="A11" s="4" t="inlineStr">
        <is>
          <t>Qubit染液</t>
        </is>
      </c>
      <c r="B11" s="4" t="inlineStr">
        <is>
          <t>POS4 C1R1分装量已纳入：217.8 µL/样本 + 1500 µL 50 mL储液槽余量。</t>
        </is>
      </c>
    </row>
    <row r="12" ht="15" customHeight="1">
      <c r="A12" s="4" t="inlineStr">
        <is>
          <t>更新记录</t>
        </is>
      </c>
      <c r="B12" s="4" t="inlineStr">
        <is>
          <t>2026-06-18：同步最新代码的POS7总冗余逻辑，并将TA/LA POS17 mixing tube冗余由15 µL调整为25 µL。</t>
        </is>
      </c>
    </row>
    <row r="13">
      <c r="A13" t="inlineStr">
        <is>
          <t>更新记录</t>
        </is>
      </c>
      <c r="B13" t="inlineStr">
        <is>
          <t>2026-06-29：LA/PCR Master Mix迁移至POS17 C2R3 2 mL T8管；T8按1/30手工预置，不再加源管冗余；LA mixing tube冗余调整为30 µL。</t>
        </is>
      </c>
    </row>
    <row r="14">
      <c r="A14" t="inlineStr">
        <is>
          <t>更新记录</t>
        </is>
      </c>
      <c r="B14" t="inlineStr">
        <is>
          <t>2026-06-29：T4 TA缓冲液、T5 TA酶源管死体积由 +6 µL 调整为 +10 µL（其余0.5 mL管仍 +6 µL）；仅改手工分装量，机器吸取量不变。</t>
        </is>
      </c>
    </row>
    <row r="15">
      <c r="A15" t="inlineStr">
        <is>
          <t>更新记录</t>
        </is>
      </c>
      <c r="B15" t="inlineStr">
        <is>
          <t>2026-07-10：样本数&gt;16时，POS7 Col9/10/11普通反应液中转孔的单孔总冗余由10 µL提高至20 µL；POS17 mixing tube冗余及样本数≤16的P1直接分装逻辑不变。</t>
        </is>
      </c>
    </row>
    <row r="16">
      <c r="A16" t="inlineStr">
        <is>
          <t>提取产物均一化</t>
        </is>
      </c>
      <c r="B16" t="inlineStr">
        <is>
          <t>提取回收45 µL；取2.2 µL在POS14 Col7-12定量。目标20 ng/µL、30 µL；原始浓度低于20 ng/µL时不补水，直接转移30 µL。</t>
        </is>
      </c>
    </row>
    <row r="17">
      <c r="A17" t="inlineStr">
        <is>
          <t>均一化范围</t>
        </is>
      </c>
      <c r="B17" t="inlineStr">
        <is>
          <t>20-200 ng/µL按样本体积600/C、补水体积30-600/C执行；C≤0或C&gt;200 ng/µL时在移液前停止。</t>
        </is>
      </c>
    </row>
    <row r="18">
      <c r="A18" t="inlineStr">
        <is>
          <t>板位与枪头</t>
        </is>
      </c>
      <c r="B18" t="inlineStr">
        <is>
          <t>POS8 Col1-6为提取原液，Col7-12为均一化产物；POS14 Col7-12为提取定量管，Col1-6保留最终文库定量；POS30为第5盒50 µL枪头。</t>
        </is>
      </c>
    </row>
    <row r="19">
      <c r="A19" t="inlineStr">
        <is>
          <t>输出表格</t>
        </is>
      </c>
      <c r="B19" t="inlineStr">
        <is>
          <t>D:\data\PTseq_Extraction.xlsx记录提取浓度；D:\data\PTseq_normalization_info.csv记录每个样本的取样和补水体积。</t>
        </is>
      </c>
    </row>
    <row r="20">
      <c r="A20" t="inlineStr">
        <is>
          <t>更新记录</t>
        </is>
      </c>
      <c r="B20" t="inlineStr">
        <is>
          <t>2026-07-20：新增提取产物定量和20 ng/µL均一化；Qubit工作液按两轮定量计算，并增加均一化无核酸水最坏情况装量。</t>
        </is>
      </c>
    </row>
    <row r="21">
      <c r="A21" t="inlineStr">
        <is>
          <t>更新记录</t>
        </is>
      </c>
      <c r="B21" t="inlineStr">
        <is>
          <t>2026-07-22：样本数&gt;16时，cDNA、TA、LA上游mixing tube增加2个完整POS7中转孔冗余；LA总量&gt;1421 µL时C2R3仅配置T7+T8，T2直接加入POS7 Col11并执行枪混和双向震荡。</t>
        </is>
      </c>
    </row>
    <row r="22">
      <c r="A22" t="inlineStr">
        <is>
          <t>更新记录</t>
        </is>
      </c>
      <c r="B22" t="inlineStr">
        <is>
          <t>2026-08-08：T2缓冲液分装增加G99 pooling预算，假设每批50%样本需要8倍预稀释，并覆盖动态补液上限。</t>
        </is>
      </c>
    </row>
    <row r="23">
      <c r="A23" t="inlineStr">
        <is>
          <t>更新记录</t>
        </is>
      </c>
      <c r="B23" t="inlineStr">
        <is>
          <t>2026-08-12：新增T12空白对照动态分装。B为PTseq.csv中QcType=B的空白对照数；机器按每个空白孔加入14 µL，手工分装量为14 × B + 6 µL来源管死体积。</t>
        </is>
      </c>
    </row>
    <row r="24">
      <c r="A24" t="inlineStr">
        <is>
          <t>更新记录</t>
        </is>
      </c>
      <c r="B24" t="inlineStr">
        <is>
          <t>2026-08-19：T4 TA缓冲液耗材按main的deck.json更正为2 mL管（原记0.5 mL冻存管有误）。</t>
        </is>
      </c>
    </row>
    <row r="25">
      <c r="A25" t="inlineStr">
        <is>
          <t>更新记录</t>
        </is>
      </c>
      <c r="B25" t="inlineStr">
        <is>
          <t>2026-08-19：Qubit染液改为单轮定量（217.8 × N + 6510 µL 试剂槽余量），与SOP表8口径一致；main未实现提取产物均一化，故删除“均一化无核酸水”行。</t>
        </is>
      </c>
    </row>
    <row r="26">
      <c r="A26" t="inlineStr">
        <is>
          <t>更新记录</t>
        </is>
      </c>
      <c r="B26" t="inlineStr">
        <is>
          <t>2026-08-19：T12空白对照说明改为按“空白对照数量”表述。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10" defaultColWidth="8.83203125" defaultRowHeight="14"/>
  <cols>
    <col width="18" customWidth="1" min="1" max="1"/>
    <col width="28" customWidth="1" min="2" max="2"/>
    <col width="16" customWidth="1" min="3" max="3"/>
    <col width="19" customWidth="1" min="4" max="4"/>
    <col width="24" customWidth="1" min="5" max="5"/>
    <col width="30" customWidth="1" min="6" max="6"/>
  </cols>
  <sheetData>
    <row r="1" ht="28" customHeight="1">
      <c r="A1" s="29" t="inlineStr">
        <is>
          <t>PTseq 提取产物定量与均一化设计</t>
        </is>
      </c>
      <c r="B1" s="30" t="n"/>
      <c r="C1" s="30" t="n"/>
      <c r="D1" s="30" t="n"/>
      <c r="E1" s="30" t="n"/>
      <c r="F1" s="30" t="n"/>
    </row>
    <row r="2">
      <c r="A2" s="7" t="n"/>
      <c r="B2" s="7" t="n"/>
      <c r="C2" s="7" t="n"/>
      <c r="D2" s="7" t="n"/>
      <c r="E2" s="7" t="n"/>
      <c r="F2" s="7" t="n"/>
    </row>
    <row r="3" ht="15" customHeight="1">
      <c r="A3" s="8" t="inlineStr">
        <is>
          <t>参数</t>
        </is>
      </c>
      <c r="B3" s="8" t="inlineStr">
        <is>
          <t>设定</t>
        </is>
      </c>
      <c r="C3" s="7" t="n"/>
      <c r="D3" s="8" t="inlineStr">
        <is>
          <t>浓度区间</t>
        </is>
      </c>
      <c r="E3" s="8" t="inlineStr">
        <is>
          <t>样本体积</t>
        </is>
      </c>
      <c r="F3" s="8" t="inlineStr">
        <is>
          <t>补水体积/处理</t>
        </is>
      </c>
    </row>
    <row r="4" ht="15" customHeight="1">
      <c r="A4" s="9" t="inlineStr">
        <is>
          <t>提取回收体积</t>
        </is>
      </c>
      <c r="B4" s="10" t="inlineStr">
        <is>
          <t>45 µL</t>
        </is>
      </c>
      <c r="C4" s="7" t="n"/>
      <c r="D4" s="9" t="inlineStr">
        <is>
          <t>C ≤ 0</t>
        </is>
      </c>
      <c r="E4" s="11" t="inlineStr">
        <is>
          <t>-</t>
        </is>
      </c>
      <c r="F4" s="10" t="inlineStr">
        <is>
          <t>移液前停止</t>
        </is>
      </c>
    </row>
    <row r="5" ht="15" customHeight="1">
      <c r="A5" s="12" t="inlineStr">
        <is>
          <t>提取定量取样</t>
        </is>
      </c>
      <c r="B5" s="13" t="inlineStr">
        <is>
          <t>2.2 µL</t>
        </is>
      </c>
      <c r="C5" s="7" t="n"/>
      <c r="D5" s="12" t="inlineStr">
        <is>
          <t>0 &lt; C &lt; 20</t>
        </is>
      </c>
      <c r="E5" s="14" t="inlineStr">
        <is>
          <t>30 µL</t>
        </is>
      </c>
      <c r="F5" s="13" t="inlineStr">
        <is>
          <t>0 µL；低于目标但保留</t>
        </is>
      </c>
    </row>
    <row r="6" ht="15" customHeight="1">
      <c r="A6" s="12" t="inlineStr">
        <is>
          <t>Qubit工作液</t>
        </is>
      </c>
      <c r="B6" s="13" t="inlineStr">
        <is>
          <t>217.8 µL/样本/轮，共2轮</t>
        </is>
      </c>
      <c r="C6" s="7" t="n"/>
      <c r="D6" s="12" t="inlineStr">
        <is>
          <t>20 ≤ C ≤ 200</t>
        </is>
      </c>
      <c r="E6" s="14" t="inlineStr">
        <is>
          <t>600/C µL</t>
        </is>
      </c>
      <c r="F6" s="13" t="inlineStr">
        <is>
          <t>30 - 600/C µL</t>
        </is>
      </c>
    </row>
    <row r="7" ht="15" customHeight="1">
      <c r="A7" s="12" t="inlineStr">
        <is>
          <t>目标浓度</t>
        </is>
      </c>
      <c r="B7" s="13" t="inlineStr">
        <is>
          <t>20 ng/µL</t>
        </is>
      </c>
      <c r="C7" s="7" t="n"/>
      <c r="D7" s="15" t="inlineStr">
        <is>
          <t>C &gt; 200</t>
        </is>
      </c>
      <c r="E7" s="16" t="inlineStr">
        <is>
          <t>&lt;3 µL</t>
        </is>
      </c>
      <c r="F7" s="17" t="inlineStr">
        <is>
          <t>移液前停止，避免贴近小体积下限</t>
        </is>
      </c>
    </row>
    <row r="8" ht="15" customHeight="1">
      <c r="A8" s="12" t="inlineStr">
        <is>
          <t>目标体积</t>
        </is>
      </c>
      <c r="B8" s="13" t="inlineStr">
        <is>
          <t>30 µL</t>
        </is>
      </c>
      <c r="C8" s="7" t="n"/>
      <c r="D8" s="7" t="n"/>
      <c r="E8" s="7" t="n"/>
      <c r="F8" s="7" t="n"/>
    </row>
    <row r="9" ht="15" customHeight="1">
      <c r="A9" s="12" t="inlineStr">
        <is>
          <t>建库投入</t>
        </is>
      </c>
      <c r="B9" s="13" t="inlineStr">
        <is>
          <t>14 µL</t>
        </is>
      </c>
      <c r="C9" s="7" t="n"/>
      <c r="D9" s="7" t="n"/>
      <c r="E9" s="7" t="n"/>
      <c r="F9" s="7" t="n"/>
    </row>
    <row r="10" ht="15" customHeight="1">
      <c r="A10" s="15" t="inlineStr">
        <is>
          <t>直接稀释允许范围</t>
        </is>
      </c>
      <c r="B10" s="17" t="inlineStr">
        <is>
          <t>20-200 ng/µL</t>
        </is>
      </c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 ht="15" customHeight="1">
      <c r="A12" s="8" t="inlineStr">
        <is>
          <t>板位</t>
        </is>
      </c>
      <c r="B12" s="8" t="inlineStr">
        <is>
          <t>用途</t>
        </is>
      </c>
      <c r="C12" s="8" t="inlineStr">
        <is>
          <t>范围</t>
        </is>
      </c>
      <c r="D12" s="7" t="n"/>
      <c r="E12" s="8" t="inlineStr">
        <is>
          <t>输出文件</t>
        </is>
      </c>
      <c r="F12" s="8" t="inlineStr">
        <is>
          <t>用途</t>
        </is>
      </c>
    </row>
    <row r="13" ht="15" customHeight="1">
      <c r="A13" s="9" t="inlineStr">
        <is>
          <t>POS8</t>
        </is>
      </c>
      <c r="B13" s="11" t="inlineStr">
        <is>
          <t>提取产物原液</t>
        </is>
      </c>
      <c r="C13" s="10" t="inlineStr">
        <is>
          <t>Col1-6</t>
        </is>
      </c>
      <c r="D13" s="7" t="n"/>
      <c r="E13" s="9" t="inlineStr">
        <is>
          <t>PTseq_Extraction.xlsx</t>
        </is>
      </c>
      <c r="F13" s="10" t="inlineStr">
        <is>
          <t>提取浓度</t>
        </is>
      </c>
    </row>
    <row r="14" ht="30" customHeight="1">
      <c r="A14" s="12" t="inlineStr">
        <is>
          <t>POS8</t>
        </is>
      </c>
      <c r="B14" s="14" t="inlineStr">
        <is>
          <t>均一化产物</t>
        </is>
      </c>
      <c r="C14" s="13" t="inlineStr">
        <is>
          <t>Col7-12</t>
        </is>
      </c>
      <c r="D14" s="7" t="n"/>
      <c r="E14" s="12" t="inlineStr">
        <is>
          <t>PTseq_normalization_info.csv</t>
        </is>
      </c>
      <c r="F14" s="13" t="inlineStr">
        <is>
          <t>取样/补水/状态</t>
        </is>
      </c>
    </row>
    <row r="15" ht="15" customHeight="1">
      <c r="A15" s="12" t="inlineStr">
        <is>
          <t>POS14</t>
        </is>
      </c>
      <c r="B15" s="14" t="inlineStr">
        <is>
          <t>提取产物定量管</t>
        </is>
      </c>
      <c r="C15" s="13" t="inlineStr">
        <is>
          <t>Col7-12</t>
        </is>
      </c>
      <c r="D15" s="7" t="n"/>
      <c r="E15" s="15" t="inlineStr">
        <is>
          <t>PTseq_Library.xlsx</t>
        </is>
      </c>
      <c r="F15" s="17" t="inlineStr">
        <is>
          <t>最终文库浓度</t>
        </is>
      </c>
    </row>
    <row r="16" ht="15" customHeight="1">
      <c r="A16" s="12" t="inlineStr">
        <is>
          <t>POS14</t>
        </is>
      </c>
      <c r="B16" s="14" t="inlineStr">
        <is>
          <t>最终文库定量管</t>
        </is>
      </c>
      <c r="C16" s="13" t="inlineStr">
        <is>
          <t>Col1-6</t>
        </is>
      </c>
      <c r="D16" s="7" t="n"/>
      <c r="E16" s="7" t="n"/>
      <c r="F16" s="7" t="n"/>
    </row>
    <row r="17" ht="15" customHeight="1">
      <c r="A17" s="12" t="inlineStr">
        <is>
          <t>POS24 A2</t>
        </is>
      </c>
      <c r="B17" s="14" t="inlineStr">
        <is>
          <t>均一化无核酸水</t>
        </is>
      </c>
      <c r="C17" s="13" t="inlineStr">
        <is>
          <t>5 mL管</t>
        </is>
      </c>
      <c r="D17" s="7" t="n"/>
      <c r="E17" s="7" t="n"/>
      <c r="F17" s="7" t="n"/>
    </row>
    <row r="18" ht="15" customHeight="1">
      <c r="A18" s="15" t="inlineStr">
        <is>
          <t>POS30</t>
        </is>
      </c>
      <c r="B18" s="16" t="inlineStr">
        <is>
          <t>备用50 µL枪头</t>
        </is>
      </c>
      <c r="C18" s="17" t="inlineStr">
        <is>
          <t>第5盒</t>
        </is>
      </c>
      <c r="D18" s="7" t="n"/>
      <c r="E18" s="7" t="n"/>
      <c r="F18" s="7" t="n"/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10" defaultColWidth="8.83203125" defaultRowHeight="14"/>
  <cols>
    <col width="32" customWidth="1" min="1" max="1"/>
    <col width="18" customWidth="1" min="2" max="2"/>
    <col width="16" customWidth="1" min="3" max="3"/>
    <col width="23" customWidth="1" min="4" max="4"/>
    <col width="12" customWidth="1" min="5" max="7"/>
  </cols>
  <sheetData>
    <row r="1" ht="28" customHeight="1">
      <c r="A1" s="25" t="inlineStr">
        <is>
          <t>E25 DNB试剂分装（Sequencing Prep / Full 通用）</t>
        </is>
      </c>
      <c r="B1" s="31" t="n"/>
      <c r="C1" s="31" t="n"/>
      <c r="D1" s="31" t="n"/>
      <c r="E1" s="31" t="n"/>
      <c r="F1" s="31" t="n"/>
      <c r="G1" s="32" t="n"/>
    </row>
    <row r="2" ht="15" customHeight="1">
      <c r="A2" s="26" t="inlineStr">
        <is>
          <t>E25 full 与 sequencing prep 的 makeDNB 试剂位置和机器取液逻辑一致；Mix I 大体积加入 Mix II 小体积管。单位：µL。</t>
        </is>
      </c>
      <c r="B2" s="31" t="n"/>
      <c r="C2" s="31" t="n"/>
      <c r="D2" s="31" t="n"/>
      <c r="E2" s="31" t="n"/>
      <c r="F2" s="31" t="n"/>
      <c r="G2" s="32" t="n"/>
    </row>
    <row r="3" ht="32" customHeight="1">
      <c r="A3" s="18" t="inlineStr">
        <is>
          <t>试剂名称</t>
        </is>
      </c>
      <c r="B3" s="18" t="inlineStr">
        <is>
          <t>耗材</t>
        </is>
      </c>
      <c r="C3" s="18" t="inlineStr">
        <is>
          <t>台面位置</t>
        </is>
      </c>
      <c r="D3" s="18" t="inlineStr">
        <is>
          <t>配置公式</t>
        </is>
      </c>
      <c r="E3" s="33" t="n">
        <v>1</v>
      </c>
      <c r="F3" s="33" t="n">
        <v>2</v>
      </c>
      <c r="G3" s="33" t="n">
        <v>3</v>
      </c>
    </row>
    <row r="4" ht="30" customHeight="1">
      <c r="A4" s="20" t="inlineStr">
        <is>
          <t>DNB制备缓冲液（OS-V2.0-SB）</t>
        </is>
      </c>
      <c r="B4" s="20" t="inlineStr">
        <is>
          <t>0.5 mL冻存管</t>
        </is>
      </c>
      <c r="C4" s="20" t="inlineStr">
        <is>
          <t>POS17 C1R5</t>
        </is>
      </c>
      <c r="D4" s="20" t="inlineStr">
        <is>
          <t>20 × D + 20</t>
        </is>
      </c>
      <c r="E4" s="34">
        <f>20*E$3+20</f>
        <v/>
      </c>
      <c r="F4" s="34">
        <f>20*F$3+20</f>
        <v/>
      </c>
      <c r="G4" s="34">
        <f>20*G$3+20</f>
        <v/>
      </c>
    </row>
    <row r="5" ht="30" customHeight="1">
      <c r="A5" s="20" t="inlineStr">
        <is>
          <t>DNB聚合酶混合液 I（OS）</t>
        </is>
      </c>
      <c r="B5" s="20" t="inlineStr">
        <is>
          <t>0.5 mL冻存管</t>
        </is>
      </c>
      <c r="C5" s="20" t="inlineStr">
        <is>
          <t>POS17 C2R5</t>
        </is>
      </c>
      <c r="D5" s="20" t="inlineStr">
        <is>
          <t>40 × (D + 0.5)</t>
        </is>
      </c>
      <c r="E5" s="34">
        <f>40*(E$3+0.5)</f>
        <v/>
      </c>
      <c r="F5" s="34">
        <f>40*(F$3+0.5)</f>
        <v/>
      </c>
      <c r="G5" s="34">
        <f>40*(G$3+0.5)</f>
        <v/>
      </c>
    </row>
    <row r="6" ht="30" customHeight="1">
      <c r="A6" s="20" t="inlineStr">
        <is>
          <t>DNB聚合酶混合液 II（OS）†</t>
        </is>
      </c>
      <c r="B6" s="20" t="inlineStr">
        <is>
          <t>0.5 mL冻存管</t>
        </is>
      </c>
      <c r="C6" s="20" t="inlineStr">
        <is>
          <t>POS17 C3R5</t>
        </is>
      </c>
      <c r="D6" s="20" t="inlineStr">
        <is>
          <t>5 × D + 10（按分装表）</t>
        </is>
      </c>
      <c r="E6" s="34">
        <f>5*E$3+10</f>
        <v/>
      </c>
      <c r="F6" s="34">
        <f>5*F$3+10</f>
        <v/>
      </c>
      <c r="G6" s="34">
        <f>5*G$3+10</f>
        <v/>
      </c>
    </row>
    <row r="7" ht="30" customHeight="1">
      <c r="A7" s="20" t="inlineStr">
        <is>
          <t>DNB终止缓冲液</t>
        </is>
      </c>
      <c r="B7" s="20" t="inlineStr">
        <is>
          <t>0.5 mL冻存管</t>
        </is>
      </c>
      <c r="C7" s="20" t="inlineStr">
        <is>
          <t>POS17 C4R5</t>
        </is>
      </c>
      <c r="D7" s="20" t="inlineStr">
        <is>
          <t>20 × D + 20</t>
        </is>
      </c>
      <c r="E7" s="34">
        <f>20*E$3+20</f>
        <v/>
      </c>
      <c r="F7" s="34">
        <f>20*F$3+20</f>
        <v/>
      </c>
      <c r="G7" s="34">
        <f>20*G$3+20</f>
        <v/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selection activeCell="A1" sqref="A1"/>
    </sheetView>
  </sheetViews>
  <sheetFormatPr baseColWidth="10" defaultColWidth="8.83203125" defaultRowHeight="14"/>
  <cols>
    <col width="29" customWidth="1" min="1" max="1"/>
    <col width="18" customWidth="1" min="2" max="2"/>
    <col width="16" customWidth="1" min="3" max="3"/>
    <col width="30" customWidth="1" min="4" max="4"/>
    <col width="11" customWidth="1" min="5" max="10"/>
  </cols>
  <sheetData>
    <row r="1" ht="28" customHeight="1">
      <c r="A1" s="25" t="inlineStr">
        <is>
          <t>G99 DNB试剂分装（Sequencing Prep / Full 通用）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2" t="n"/>
    </row>
    <row r="2" ht="15" customHeight="1">
      <c r="A2" s="26" t="inlineStr">
        <is>
          <t>G99 full 与 sequencing prep 的 makeDNB 试剂位置和机器取液逻辑一致；D1加入D2，Mix I加入Mix II。D1按整µL向上取整。单位：µL。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2" t="n"/>
    </row>
    <row r="3" ht="32" customHeight="1">
      <c r="A3" s="18" t="inlineStr">
        <is>
          <t>试剂名称</t>
        </is>
      </c>
      <c r="B3" s="18" t="inlineStr">
        <is>
          <t>耗材</t>
        </is>
      </c>
      <c r="C3" s="18" t="inlineStr">
        <is>
          <t>台面位置</t>
        </is>
      </c>
      <c r="D3" s="18" t="inlineStr">
        <is>
          <t>配置公式</t>
        </is>
      </c>
      <c r="E3" s="33" t="n">
        <v>1</v>
      </c>
      <c r="F3" s="33" t="n">
        <v>2</v>
      </c>
      <c r="G3" s="33" t="n">
        <v>3</v>
      </c>
      <c r="H3" s="33" t="n">
        <v>4</v>
      </c>
      <c r="I3" s="33" t="n">
        <v>5</v>
      </c>
      <c r="J3" s="33" t="n">
        <v>6</v>
      </c>
    </row>
    <row r="4" ht="30" customHeight="1">
      <c r="A4" s="20" t="inlineStr">
        <is>
          <t>环化反应缓冲液（D1）</t>
        </is>
      </c>
      <c r="B4" s="20" t="inlineStr">
        <is>
          <t>0.5 mL冻存管</t>
        </is>
      </c>
      <c r="C4" s="20" t="inlineStr">
        <is>
          <t>POS17 C1R4</t>
        </is>
      </c>
      <c r="D4" s="20" t="inlineStr">
        <is>
          <t>ROUNDUP[11.6 × (D + 1) + 6]</t>
        </is>
      </c>
      <c r="E4" s="34">
        <f>ROUNDUP(11.6*(E$3+1)+6,0)</f>
        <v/>
      </c>
      <c r="F4" s="34">
        <f>ROUNDUP(11.6*(F$3+1)+6,0)</f>
        <v/>
      </c>
      <c r="G4" s="34">
        <f>ROUNDUP(11.6*(G$3+1)+6,0)</f>
        <v/>
      </c>
      <c r="H4" s="34">
        <f>ROUNDUP(11.6*(H$3+1)+6,0)</f>
        <v/>
      </c>
      <c r="I4" s="34">
        <f>ROUNDUP(11.6*(I$3+1)+6,0)</f>
        <v/>
      </c>
      <c r="J4" s="34">
        <f>ROUNDUP(11.6*(J$3+1)+6,0)</f>
        <v/>
      </c>
    </row>
    <row r="5" ht="30" customHeight="1">
      <c r="A5" s="20" t="inlineStr">
        <is>
          <t>环化反应酶（D2）†</t>
        </is>
      </c>
      <c r="B5" s="20" t="inlineStr">
        <is>
          <t>0.5 mL冻存管</t>
        </is>
      </c>
      <c r="C5" s="20" t="inlineStr">
        <is>
          <t>POS17 C2R4</t>
        </is>
      </c>
      <c r="D5" s="20" t="inlineStr">
        <is>
          <t>0.5 × (D + 1)</t>
        </is>
      </c>
      <c r="E5" s="34">
        <f>0.5*(E$3+1)</f>
        <v/>
      </c>
      <c r="F5" s="34">
        <f>0.5*(F$3+1)</f>
        <v/>
      </c>
      <c r="G5" s="34">
        <f>0.5*(G$3+1)</f>
        <v/>
      </c>
      <c r="H5" s="34">
        <f>0.5*(H$3+1)</f>
        <v/>
      </c>
      <c r="I5" s="34">
        <f>0.5*(I$3+1)</f>
        <v/>
      </c>
      <c r="J5" s="34">
        <f>0.5*(J$3+1)</f>
        <v/>
      </c>
    </row>
    <row r="6" ht="30" customHeight="1">
      <c r="A6" s="20" t="inlineStr">
        <is>
          <t>DNB制备缓冲液（SB）</t>
        </is>
      </c>
      <c r="B6" s="20" t="inlineStr">
        <is>
          <t>0.5 mL冻存管</t>
        </is>
      </c>
      <c r="C6" s="20" t="inlineStr">
        <is>
          <t>POS17 C3R5</t>
        </is>
      </c>
      <c r="D6" s="20" t="inlineStr">
        <is>
          <t>14 × D + 6</t>
        </is>
      </c>
      <c r="E6" s="34">
        <f>14*E$3+6</f>
        <v/>
      </c>
      <c r="F6" s="34">
        <f>14*F$3+6</f>
        <v/>
      </c>
      <c r="G6" s="34">
        <f>14*G$3+6</f>
        <v/>
      </c>
      <c r="H6" s="34">
        <f>14*H$3+6</f>
        <v/>
      </c>
      <c r="I6" s="34">
        <f>14*I$3+6</f>
        <v/>
      </c>
      <c r="J6" s="34">
        <f>14*J$3+6</f>
        <v/>
      </c>
    </row>
    <row r="7" ht="30" customHeight="1">
      <c r="A7" s="20" t="inlineStr">
        <is>
          <t>聚合酶 Mix I（E1）</t>
        </is>
      </c>
      <c r="B7" s="20" t="inlineStr">
        <is>
          <t>0.5 mL冻存管</t>
        </is>
      </c>
      <c r="C7" s="20" t="inlineStr">
        <is>
          <t>POS17 C1R5</t>
        </is>
      </c>
      <c r="D7" s="20" t="inlineStr">
        <is>
          <t>20 × (D + 0.5) + 6</t>
        </is>
      </c>
      <c r="E7" s="34">
        <f>20*(E$3+0.5)+6</f>
        <v/>
      </c>
      <c r="F7" s="34">
        <f>20*(F$3+0.5)+6</f>
        <v/>
      </c>
      <c r="G7" s="34">
        <f>20*(G$3+0.5)+6</f>
        <v/>
      </c>
      <c r="H7" s="34">
        <f>20*(H$3+0.5)+6</f>
        <v/>
      </c>
      <c r="I7" s="34">
        <f>20*(I$3+0.5)+6</f>
        <v/>
      </c>
      <c r="J7" s="34">
        <f>20*(J$3+0.5)+6</f>
        <v/>
      </c>
    </row>
    <row r="8" ht="30" customHeight="1">
      <c r="A8" s="20" t="inlineStr">
        <is>
          <t>聚合酶 Mix II（E2）†</t>
        </is>
      </c>
      <c r="B8" s="20" t="inlineStr">
        <is>
          <t>0.5 mL冻存管</t>
        </is>
      </c>
      <c r="C8" s="20" t="inlineStr">
        <is>
          <t>POS17 C2R5</t>
        </is>
      </c>
      <c r="D8" s="20" t="inlineStr">
        <is>
          <t>2 × (D + 0.5)</t>
        </is>
      </c>
      <c r="E8" s="34">
        <f>2*(E$3+0.5)</f>
        <v/>
      </c>
      <c r="F8" s="34">
        <f>2*(F$3+0.5)</f>
        <v/>
      </c>
      <c r="G8" s="34">
        <f>2*(G$3+0.5)</f>
        <v/>
      </c>
      <c r="H8" s="34">
        <f>2*(H$3+0.5)</f>
        <v/>
      </c>
      <c r="I8" s="34">
        <f>2*(I$3+0.5)</f>
        <v/>
      </c>
      <c r="J8" s="34">
        <f>2*(J$3+0.5)</f>
        <v/>
      </c>
    </row>
    <row r="9" ht="30" customHeight="1">
      <c r="A9" s="20" t="inlineStr">
        <is>
          <t>DNB终止缓冲液</t>
        </is>
      </c>
      <c r="B9" s="20" t="inlineStr">
        <is>
          <t>0.5 mL冻存管</t>
        </is>
      </c>
      <c r="C9" s="20" t="inlineStr">
        <is>
          <t>POS17 C4R5</t>
        </is>
      </c>
      <c r="D9" s="20" t="inlineStr">
        <is>
          <t>14 × D + 6</t>
        </is>
      </c>
      <c r="E9" s="34">
        <f>14*E$3+6</f>
        <v/>
      </c>
      <c r="F9" s="34">
        <f>14*F$3+6</f>
        <v/>
      </c>
      <c r="G9" s="34">
        <f>14*G$3+6</f>
        <v/>
      </c>
      <c r="H9" s="34">
        <f>14*H$3+6</f>
        <v/>
      </c>
      <c r="I9" s="34">
        <f>14*I$3+6</f>
        <v/>
      </c>
      <c r="J9" s="34">
        <f>14*J$3+6</f>
        <v/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10" defaultColWidth="8.83203125" defaultRowHeight="14"/>
  <cols>
    <col width="29" customWidth="1" min="1" max="1"/>
    <col width="18" customWidth="1" min="2" max="2"/>
    <col width="16" customWidth="1" min="3" max="3"/>
    <col width="24" customWidth="1" min="4" max="4"/>
    <col width="15" customWidth="1" min="5" max="8"/>
  </cols>
  <sheetData>
    <row r="1" ht="28" customHeight="1">
      <c r="A1" s="25" t="inlineStr">
        <is>
          <t>G200/2000 DNB试剂分装（Sequencing Prep / Full）</t>
        </is>
      </c>
      <c r="B1" s="31" t="n"/>
      <c r="C1" s="31" t="n"/>
      <c r="D1" s="31" t="n"/>
      <c r="E1" s="31" t="n"/>
      <c r="F1" s="31" t="n"/>
      <c r="G1" s="31" t="n"/>
      <c r="H1" s="32" t="n"/>
    </row>
    <row r="2" ht="15" customHeight="1">
      <c r="A2" s="26" t="inlineStr">
        <is>
          <t>本表按提供的操作表保留：8/12/24/48样本分别映射D=1/2/3/6。当前main代码将所有有效样本归入1个DNB，运行前应按实际脚本版本确认D。单位：µL。</t>
        </is>
      </c>
      <c r="B2" s="31" t="n"/>
      <c r="C2" s="31" t="n"/>
      <c r="D2" s="31" t="n"/>
      <c r="E2" s="31" t="n"/>
      <c r="F2" s="31" t="n"/>
      <c r="G2" s="31" t="n"/>
      <c r="H2" s="32" t="n"/>
    </row>
    <row r="3" ht="32" customHeight="1">
      <c r="A3" s="18" t="inlineStr">
        <is>
          <t>试剂名称</t>
        </is>
      </c>
      <c r="B3" s="18" t="inlineStr">
        <is>
          <t>耗材</t>
        </is>
      </c>
      <c r="C3" s="18" t="inlineStr">
        <is>
          <t>台面位置</t>
        </is>
      </c>
      <c r="D3" s="18" t="inlineStr">
        <is>
          <t>代码计算公式（µL）</t>
        </is>
      </c>
      <c r="E3" s="18" t="inlineStr">
        <is>
          <t>8样本用量</t>
        </is>
      </c>
      <c r="F3" s="18" t="inlineStr">
        <is>
          <t>12样本用量</t>
        </is>
      </c>
      <c r="G3" s="18" t="inlineStr">
        <is>
          <t>24样本用量</t>
        </is>
      </c>
      <c r="H3" s="18" t="inlineStr">
        <is>
          <t>48样本用量</t>
        </is>
      </c>
    </row>
    <row r="4" ht="30" customHeight="1">
      <c r="A4" s="22" t="inlineStr">
        <is>
          <t>对应D值</t>
        </is>
      </c>
      <c r="B4" s="22" t="n"/>
      <c r="C4" s="22" t="n"/>
      <c r="D4" s="22" t="inlineStr">
        <is>
          <t>提供表格的D映射</t>
        </is>
      </c>
      <c r="E4" s="35" t="n">
        <v>1</v>
      </c>
      <c r="F4" s="35" t="n">
        <v>2</v>
      </c>
      <c r="G4" s="35" t="n">
        <v>3</v>
      </c>
      <c r="H4" s="35" t="n">
        <v>6</v>
      </c>
    </row>
    <row r="5" ht="30" customHeight="1">
      <c r="A5" s="20" t="inlineStr">
        <is>
          <t>环化反应缓冲液（D1）</t>
        </is>
      </c>
      <c r="B5" s="20" t="inlineStr">
        <is>
          <t>0.5 mL冻存管</t>
        </is>
      </c>
      <c r="C5" s="20" t="inlineStr">
        <is>
          <t>POS17 C1R4</t>
        </is>
      </c>
      <c r="D5" s="20" t="inlineStr">
        <is>
          <t>D × 16.24 + 6</t>
        </is>
      </c>
      <c r="E5" s="34">
        <f>ROUND(E$4*16.24+6,1)</f>
        <v/>
      </c>
      <c r="F5" s="34">
        <f>ROUND(F$4*16.24+6,1)</f>
        <v/>
      </c>
      <c r="G5" s="34">
        <f>ROUND(G$4*16.24+6,1)</f>
        <v/>
      </c>
      <c r="H5" s="34">
        <f>ROUND(H$4*16.24+6,1)</f>
        <v/>
      </c>
    </row>
    <row r="6" ht="30" customHeight="1">
      <c r="A6" s="20" t="inlineStr">
        <is>
          <t>环化反应酶（D2）†</t>
        </is>
      </c>
      <c r="B6" s="20" t="inlineStr">
        <is>
          <t>0.5 mL冻存管</t>
        </is>
      </c>
      <c r="C6" s="20" t="inlineStr">
        <is>
          <t>POS17 C2R4</t>
        </is>
      </c>
      <c r="D6" s="20" t="inlineStr">
        <is>
          <t>D × 0.5</t>
        </is>
      </c>
      <c r="E6" s="34">
        <f>E$4*0.5</f>
        <v/>
      </c>
      <c r="F6" s="34">
        <f>F$4*0.5</f>
        <v/>
      </c>
      <c r="G6" s="34">
        <f>G$4*0.5</f>
        <v/>
      </c>
      <c r="H6" s="34">
        <f>H$4*0.5</f>
        <v/>
      </c>
    </row>
    <row r="7" ht="30" customHeight="1">
      <c r="A7" s="20" t="inlineStr">
        <is>
          <t>DNB制备缓冲液（SB）</t>
        </is>
      </c>
      <c r="B7" s="20" t="inlineStr">
        <is>
          <t>0.5 mL冻存管</t>
        </is>
      </c>
      <c r="C7" s="20" t="inlineStr">
        <is>
          <t>POS17 C3R5</t>
        </is>
      </c>
      <c r="D7" s="20" t="inlineStr">
        <is>
          <t>D × 28.0 + 6</t>
        </is>
      </c>
      <c r="E7" s="34">
        <f>E$4*28+6</f>
        <v/>
      </c>
      <c r="F7" s="34">
        <f>F$4*28+6</f>
        <v/>
      </c>
      <c r="G7" s="34">
        <f>G$4*28+6</f>
        <v/>
      </c>
      <c r="H7" s="34">
        <f>H$4*28+6</f>
        <v/>
      </c>
    </row>
    <row r="8" ht="30" customHeight="1">
      <c r="A8" s="20" t="inlineStr">
        <is>
          <t>聚合酶 Mix I（E1）</t>
        </is>
      </c>
      <c r="B8" s="20" t="inlineStr">
        <is>
          <t>0.5 mL冻存管</t>
        </is>
      </c>
      <c r="C8" s="20" t="inlineStr">
        <is>
          <t>POS17 C1R5</t>
        </is>
      </c>
      <c r="D8" s="20" t="inlineStr">
        <is>
          <t>D × 56.0 + 6</t>
        </is>
      </c>
      <c r="E8" s="34">
        <f>E$4*56+6</f>
        <v/>
      </c>
      <c r="F8" s="34">
        <f>F$4*56+6</f>
        <v/>
      </c>
      <c r="G8" s="34">
        <f>G$4*56+6</f>
        <v/>
      </c>
      <c r="H8" s="34">
        <f>H$4*56+6</f>
        <v/>
      </c>
    </row>
    <row r="9" ht="30" customHeight="1">
      <c r="A9" s="20" t="inlineStr">
        <is>
          <t>聚合酶 Mix II（E2）†</t>
        </is>
      </c>
      <c r="B9" s="20" t="inlineStr">
        <is>
          <t>0.5 mL冻存管</t>
        </is>
      </c>
      <c r="C9" s="20" t="inlineStr">
        <is>
          <t>POS17 C2R5</t>
        </is>
      </c>
      <c r="D9" s="20" t="inlineStr">
        <is>
          <t>D × 4.0</t>
        </is>
      </c>
      <c r="E9" s="34">
        <f>E$4*4</f>
        <v/>
      </c>
      <c r="F9" s="34">
        <f>F$4*4</f>
        <v/>
      </c>
      <c r="G9" s="34">
        <f>G$4*4</f>
        <v/>
      </c>
      <c r="H9" s="34">
        <f>H$4*4</f>
        <v/>
      </c>
    </row>
    <row r="10" ht="30" customHeight="1">
      <c r="A10" s="20" t="inlineStr">
        <is>
          <t>DNB终止缓冲液</t>
        </is>
      </c>
      <c r="B10" s="20" t="inlineStr">
        <is>
          <t>0.5 mL冻存管</t>
        </is>
      </c>
      <c r="C10" s="20" t="inlineStr">
        <is>
          <t>POS17 C4R5</t>
        </is>
      </c>
      <c r="D10" s="20" t="inlineStr">
        <is>
          <t>D × 28.0 + 6</t>
        </is>
      </c>
      <c r="E10" s="34">
        <f>E$4*28+6</f>
        <v/>
      </c>
      <c r="F10" s="34">
        <f>F$4*28+6</f>
        <v/>
      </c>
      <c r="G10" s="34">
        <f>G$4*28+6</f>
        <v/>
      </c>
      <c r="H10" s="34">
        <f>H$4*28+6</f>
        <v/>
      </c>
    </row>
  </sheetData>
  <mergeCells count="2">
    <mergeCell ref="A2:H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2026-08-19T00:56:22Z</dcterms:created>
  <dcterms:modified xsi:type="dcterms:W3CDTF">2026-08-19T00:56:22Z</dcterms:modified>
</cp:coreProperties>
</file>
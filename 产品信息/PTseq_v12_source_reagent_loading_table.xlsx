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shan/Documents/BGI/SIRO解决方案中心/SIRO48PTseq开发/GenSIRO48_PTseq/产品信息/"/>
    </mc:Choice>
  </mc:AlternateContent>
  <xr:revisionPtr revIDLastSave="0" documentId="11_075601D51496E35C4E64FF30A5E5ACF5039E37E1" xr6:coauthVersionLast="47" xr6:coauthVersionMax="47" xr10:uidLastSave="{00000000-0000-0000-0000-000000000000}"/>
  <bookViews>
    <workbookView xWindow="-33180" yWindow="800" windowWidth="30240" windowHeight="18980" xr2:uid="{00000000-000D-0000-FFFF-FFFF00000000}"/>
  </bookViews>
  <sheets>
    <sheet name="试剂分装" sheetId="1" r:id="rId1"/>
    <sheet name="代码消耗" sheetId="2" r:id="rId2"/>
    <sheet name="计算明细" sheetId="3" r:id="rId3"/>
    <sheet name="说明" sheetId="4" r:id="rId4"/>
    <sheet name="均一化设计" sheetId="5" r:id="rId5"/>
    <sheet name="E25_DNB试剂" sheetId="6" r:id="rId6"/>
    <sheet name="G99_DNB试剂" sheetId="7" r:id="rId7"/>
    <sheet name="200_2000_DNB试剂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8" l="1"/>
  <c r="G10" i="8"/>
  <c r="F10" i="8"/>
  <c r="E10" i="8"/>
  <c r="H9" i="8"/>
  <c r="G9" i="8"/>
  <c r="F9" i="8"/>
  <c r="E9" i="8"/>
  <c r="H8" i="8"/>
  <c r="G8" i="8"/>
  <c r="F8" i="8"/>
  <c r="E8" i="8"/>
  <c r="H7" i="8"/>
  <c r="G7" i="8"/>
  <c r="F7" i="8"/>
  <c r="E7" i="8"/>
  <c r="H6" i="8"/>
  <c r="G6" i="8"/>
  <c r="F6" i="8"/>
  <c r="E6" i="8"/>
  <c r="H5" i="8"/>
  <c r="G5" i="8"/>
  <c r="F5" i="8"/>
  <c r="E5" i="8"/>
  <c r="J9" i="7"/>
  <c r="I9" i="7"/>
  <c r="H9" i="7"/>
  <c r="G9" i="7"/>
  <c r="F9" i="7"/>
  <c r="E9" i="7"/>
  <c r="J8" i="7"/>
  <c r="I8" i="7"/>
  <c r="H8" i="7"/>
  <c r="G8" i="7"/>
  <c r="F8" i="7"/>
  <c r="E8" i="7"/>
  <c r="J7" i="7"/>
  <c r="I7" i="7"/>
  <c r="H7" i="7"/>
  <c r="G7" i="7"/>
  <c r="F7" i="7"/>
  <c r="E7" i="7"/>
  <c r="J6" i="7"/>
  <c r="I6" i="7"/>
  <c r="H6" i="7"/>
  <c r="G6" i="7"/>
  <c r="F6" i="7"/>
  <c r="E6" i="7"/>
  <c r="J5" i="7"/>
  <c r="I5" i="7"/>
  <c r="H5" i="7"/>
  <c r="G5" i="7"/>
  <c r="F5" i="7"/>
  <c r="E5" i="7"/>
  <c r="J4" i="7"/>
  <c r="I4" i="7"/>
  <c r="H4" i="7"/>
  <c r="G4" i="7"/>
  <c r="F4" i="7"/>
  <c r="E4" i="7"/>
  <c r="G7" i="6"/>
  <c r="F7" i="6"/>
  <c r="E7" i="6"/>
  <c r="G6" i="6"/>
  <c r="F6" i="6"/>
  <c r="E6" i="6"/>
  <c r="G5" i="6"/>
  <c r="F5" i="6"/>
  <c r="E5" i="6"/>
  <c r="G4" i="6"/>
  <c r="F4" i="6"/>
  <c r="E4" i="6"/>
  <c r="D57" i="3"/>
  <c r="D56" i="3"/>
  <c r="D55" i="3"/>
  <c r="D54" i="3"/>
  <c r="D53" i="3"/>
  <c r="D52" i="3"/>
  <c r="D51" i="3"/>
  <c r="D43" i="3"/>
  <c r="D35" i="3"/>
  <c r="D27" i="3"/>
  <c r="D19" i="3"/>
  <c r="D11" i="3"/>
  <c r="J16" i="2"/>
  <c r="I16" i="2"/>
  <c r="H16" i="2"/>
  <c r="G16" i="2"/>
  <c r="F16" i="2"/>
  <c r="E16" i="2"/>
  <c r="J15" i="2"/>
  <c r="I15" i="2"/>
  <c r="H15" i="2"/>
  <c r="G15" i="2"/>
  <c r="F15" i="2"/>
  <c r="E15" i="2"/>
  <c r="K16" i="1"/>
  <c r="J16" i="1"/>
  <c r="I16" i="1"/>
  <c r="H16" i="1"/>
  <c r="G16" i="1"/>
  <c r="F16" i="1"/>
  <c r="K15" i="1"/>
  <c r="J15" i="1"/>
  <c r="I15" i="1"/>
  <c r="H15" i="1"/>
  <c r="G15" i="1"/>
  <c r="F15" i="1"/>
</calcChain>
</file>

<file path=xl/sharedStrings.xml><?xml version="1.0" encoding="utf-8"?>
<sst xmlns="http://schemas.openxmlformats.org/spreadsheetml/2006/main" count="490" uniqueCount="226">
  <si>
    <t>PTseq 试剂分装量（µL）</t>
  </si>
  <si>
    <t>试剂</t>
  </si>
  <si>
    <t>台面位置</t>
  </si>
  <si>
    <t>耗材类别</t>
  </si>
  <si>
    <t>来源冗余</t>
  </si>
  <si>
    <t>计算规则</t>
  </si>
  <si>
    <t>T1 cDNA引物</t>
  </si>
  <si>
    <t>POS17 C1R1</t>
  </si>
  <si>
    <t>0.5 mL冻存管</t>
  </si>
  <si>
    <t>+6 µL</t>
  </si>
  <si>
    <t>2 × N</t>
  </si>
  <si>
    <t>T2 cDNA缓冲液</t>
  </si>
  <si>
    <t>POS17 C2R1</t>
  </si>
  <si>
    <t>第9列反应液总量 / 2；&gt;16通量含2个完整POS7中转孔的上游冗余</t>
  </si>
  <si>
    <t>T3 cDNA酶</t>
  </si>
  <si>
    <t>POS17 C3R1</t>
  </si>
  <si>
    <t>T4 TA缓冲液</t>
  </si>
  <si>
    <t>POS17 C1R2</t>
  </si>
  <si>
    <t>+10 µL</t>
  </si>
  <si>
    <t>第10列反应液总量 × 5/15；&gt;16通量含2个完整POS7中转孔的上游冗余</t>
  </si>
  <si>
    <t>T5 TA酶</t>
  </si>
  <si>
    <t>POS17 C2R2</t>
  </si>
  <si>
    <t>第10列反应液总量 × 3/15；&gt;16通量含2个完整POS7中转孔的上游冗余</t>
  </si>
  <si>
    <t>T8 UDG酶</t>
  </si>
  <si>
    <t>POS17 C2R3</t>
  </si>
  <si>
    <t>2 mL管</t>
  </si>
  <si>
    <t>无源管冗余；手工预置到C2R3</t>
  </si>
  <si>
    <t>第11列反应液总量 × 1/30；总量&gt;1421 µL时C2R3只配置T7+T8</t>
  </si>
  <si>
    <t>T7 LA/PCR Mix</t>
  </si>
  <si>
    <t>POS17 C1R3</t>
  </si>
  <si>
    <t>+15 µL，向上取5 µL</t>
  </si>
  <si>
    <t>第11列反应液总量 × 20/30 + 源管冗余；总量&gt;1421 µL时C2R3只配置T7+T8</t>
  </si>
  <si>
    <t>T2缓冲液总量</t>
  </si>
  <si>
    <t>POS24 C1R2</t>
  </si>
  <si>
    <t>8 mL管</t>
  </si>
  <si>
    <t>+320 µL</t>
  </si>
  <si>
    <t>TA T2 + POS7 Col7 T2 + LA/PCR T2；LA总量&gt;1421 µL时T2直接加入POS7 Col11</t>
  </si>
  <si>
    <t>磁珠总量</t>
  </si>
  <si>
    <t>POS24 C1R1</t>
  </si>
  <si>
    <t>TA磁珠 50 × 1.4 × N + LA磁珠 55 × N</t>
  </si>
  <si>
    <t>矿物油</t>
  </si>
  <si>
    <t>POS24 C3R1</t>
  </si>
  <si>
    <t>按当前代码逻辑计算矿物油预分装总量</t>
  </si>
  <si>
    <t>80%乙醇</t>
  </si>
  <si>
    <t>POS3 reservoir</t>
  </si>
  <si>
    <t>50 mL储液槽</t>
  </si>
  <si>
    <t>+3200 µL</t>
  </si>
  <si>
    <t>195 × 5 × N</t>
  </si>
  <si>
    <t>Qubit染液工作液</t>
  </si>
  <si>
    <t>POS4 C1R1</t>
  </si>
  <si>
    <t>+1500 µL</t>
  </si>
  <si>
    <t>两轮定量：2 × 217.8 × N + 1500 µL</t>
  </si>
  <si>
    <t>均一化无核酸水</t>
  </si>
  <si>
    <t>POS24 A2</t>
  </si>
  <si>
    <t>5 mL管</t>
  </si>
  <si>
    <t>+320 µL（最坏情况）</t>
  </si>
  <si>
    <t>max(0, 30 - 600/C) × N；表内按27 × N上限</t>
  </si>
  <si>
    <t>PTseq 代码理论消耗量（不含来源冗余，µL）</t>
  </si>
  <si>
    <t>来源项目</t>
  </si>
  <si>
    <t>耗材假设</t>
  </si>
  <si>
    <t>计算依据</t>
  </si>
  <si>
    <t>第9列反应液总量 / 2；&gt;16通量增加2个完整POS7中转孔上游冗余</t>
  </si>
  <si>
    <t>第10列反应液总量 × 5/15；&gt;16通量增加2个完整POS7中转孔上游冗余</t>
  </si>
  <si>
    <t>第10列反应液总量 × 3/15；&gt;16通量增加2个完整POS7中转孔上游冗余</t>
  </si>
  <si>
    <t>2 mL管（手工预置C2R3）</t>
  </si>
  <si>
    <t>第11列反应液总量 × 1/30；总量&gt;1421 µL时T8留在C2R3</t>
  </si>
  <si>
    <t>第11列反应液总量 × 20/30；总量&gt;1421 µL时C2R3只配置T7+T8</t>
  </si>
  <si>
    <t>TA T2 + POS7 Col7 T2 + LA/PCR T2；LA超限时T2直接加入POS7 Col11</t>
  </si>
  <si>
    <t>两轮定量：2 × 217.8 × N</t>
  </si>
  <si>
    <t>每个样本最大补水27 µL；实际值见均一化输出表</t>
  </si>
  <si>
    <t>PTseq 计算明细</t>
  </si>
  <si>
    <t>样本数</t>
  </si>
  <si>
    <t>环节</t>
  </si>
  <si>
    <t>项目</t>
  </si>
  <si>
    <t>体积（µL）</t>
  </si>
  <si>
    <t>公式/说明</t>
  </si>
  <si>
    <t>分支规则</t>
  </si>
  <si>
    <t>第9/10/11列反应液</t>
  </si>
  <si>
    <t>P1直接分装</t>
  </si>
  <si>
    <t>样本数≤16使用P1直接分装；样本数&gt;16使用POS7/P8中转。</t>
  </si>
  <si>
    <t>第9列 cDNA反应液</t>
  </si>
  <si>
    <t>混合管总量</t>
  </si>
  <si>
    <t>直接分装：4 × N + 15；POS7/P8：sum(活跃列数 × 4 + 20) + 15 + 2 × max(POS7单孔体积)。</t>
  </si>
  <si>
    <t>第10列 TA反应液</t>
  </si>
  <si>
    <t>直接分装：15 × N + 25；POS7/P8：sum(活跃列数 × 15 + 20) + 25 + 2 × max(POS7单孔体积)。</t>
  </si>
  <si>
    <t>第11列 LA/PCR反应液</t>
  </si>
  <si>
    <t>直接分装：30 × N + 30；POS7/P8：sum(活跃列数 × 30 + 20) + 30 + 2 × max(POS7单孔体积)；总量&gt;1421 µL时C2R3只配置T7+T8。</t>
  </si>
  <si>
    <t>T2缓冲液共用来源</t>
  </si>
  <si>
    <t>TA T2组分</t>
  </si>
  <si>
    <t>第10列反应液总量 × 7/15。</t>
  </si>
  <si>
    <t>POS7 Col7 T2中转量</t>
  </si>
  <si>
    <t>代码模式：48 × 1.4 × N。</t>
  </si>
  <si>
    <t>LA/PCR T2组分</t>
  </si>
  <si>
    <t>第11列反应液总量 × 9/30；总量&gt;1421 µL时T2直接加入POS7 Col11。</t>
  </si>
  <si>
    <t>Qubit染液</t>
  </si>
  <si>
    <t>POS4 C1R1分装量</t>
  </si>
  <si>
    <t>两轮定量：2 × 217.8 µL/样本 + 1500 µL 50 mL储液槽死体积。</t>
  </si>
  <si>
    <t>POS7/P8中转</t>
  </si>
  <si>
    <t>提取产物均一化</t>
  </si>
  <si>
    <t>无核酸水最大代码消耗</t>
  </si>
  <si>
    <t>目标30 µL；最低取样3 µL，因此单样本最大补水27 µL；实际补水由实测浓度决定。</t>
  </si>
  <si>
    <t>PTseq 说明与验证记录</t>
  </si>
  <si>
    <t>说明</t>
  </si>
  <si>
    <t>范围</t>
  </si>
  <si>
    <t>当前表格覆盖 cDNA、TA、LA/PCR、两轮磁珠纯化、矿物油、乙醇和 Qubit 定量所需来源试剂分装；不包含 pooling/makeDNB 试剂。</t>
  </si>
  <si>
    <t>样本数≤16时，第9/10/11列反应液使用低通量P1直接分装；样本数&gt;16时使用POS7/P8中转。</t>
  </si>
  <si>
    <t>来源死体积规则</t>
  </si>
  <si>
    <t>POS7封顶曲线</t>
  </si>
  <si>
    <t>POS7反应液中转孔仍按：活跃下游列数 × 单次吸取体积 + 20 µL总冗余；样本数&gt;16时，上游mixing tube另增加2个完整POS7中转孔的体积。</t>
  </si>
  <si>
    <t>混合管死体积</t>
  </si>
  <si>
    <t>POS17 Col4 Row1 cDNA混合管基础死体积15 µL；POS17 Col4 Row2 TA混合管25 µL；POS17 C2R3 LA/PCR混合管30 µL。样本数&gt;16时三者另加2个完整POS7中转孔上游冗余。</t>
  </si>
  <si>
    <t>POS24 C1R2合并TA mix T2、POS7 Col7 T2中转量和LA/PCR mix T2，再增加一个8 mL来源死体积；LA总量&gt;1421 µL时，LA/PCR T2直接加入POS7 Col11。</t>
  </si>
  <si>
    <t>乙醇</t>
  </si>
  <si>
    <t>POS3到POS7的乙醇预分装按每个活跃通道195 µL × 5轮计算，并额外加入50 mL储液槽余量。</t>
  </si>
  <si>
    <t>POS4 C1R1分装量已纳入：217.8 µL/样本 + 1500 µL 50 mL储液槽余量。</t>
  </si>
  <si>
    <t>更新记录</t>
  </si>
  <si>
    <t>2026-06-18：同步最新代码的POS7总冗余逻辑，并将TA/LA POS17 mixing tube冗余由15 µL调整为25 µL。</t>
  </si>
  <si>
    <t>2026-06-29：LA/PCR Master Mix迁移至POS17 C2R3 2 mL T8管；T8按1/30手工预置，不再加源管冗余；LA mixing tube冗余调整为30 µL。</t>
  </si>
  <si>
    <t>2026-06-29：T4 TA缓冲液、T5 TA酶源管死体积由 +6 µL 调整为 +10 µL（其余0.5 mL管仍 +6 µL）；仅改手工分装量，机器吸取量不变。</t>
  </si>
  <si>
    <t>2026-07-10：样本数&gt;16时，POS7 Col9/10/11普通反应液中转孔的单孔总冗余由10 µL提高至20 µL；POS17 mixing tube冗余及样本数≤16的P1直接分装逻辑不变。</t>
  </si>
  <si>
    <t>提取回收45 µL；取2.2 µL在POS14 Col7-12定量。目标20 ng/µL、30 µL；原始浓度低于20 ng/µL时不补水，直接转移30 µL。</t>
  </si>
  <si>
    <t>均一化范围</t>
  </si>
  <si>
    <t>20-200 ng/µL按样本体积600/C、补水体积30-600/C执行；C≤0或C&gt;200 ng/µL时在移液前停止。</t>
  </si>
  <si>
    <t>板位与枪头</t>
  </si>
  <si>
    <t>POS8 Col1-6为提取原液，Col7-12为均一化产物；POS14 Col7-12为提取定量管，Col1-6保留最终文库定量；POS30为第5盒50 µL枪头。</t>
  </si>
  <si>
    <t>输出表格</t>
  </si>
  <si>
    <t>D:\data\PTseq_Extraction.xlsx记录提取浓度；D:\data\PTseq_normalization_info.csv记录每个样本的取样和补水体积。</t>
  </si>
  <si>
    <t>2026-07-20：新增提取产物定量和20 ng/µL均一化；Qubit工作液按两轮定量计算，并增加均一化无核酸水最坏情况装量。</t>
  </si>
  <si>
    <t>2026-07-22：样本数&gt;16时，cDNA、TA、LA上游mixing tube增加2个完整POS7中转孔冗余；LA总量&gt;1421 µL时C2R3仅配置T7+T8，T2直接加入POS7 Col11并执行枪混和双向震荡。</t>
  </si>
  <si>
    <t>PTseq 提取产物定量与均一化设计</t>
  </si>
  <si>
    <t>参数</t>
  </si>
  <si>
    <t>设定</t>
  </si>
  <si>
    <t>浓度区间</t>
  </si>
  <si>
    <t>样本体积</t>
  </si>
  <si>
    <t>补水体积/处理</t>
  </si>
  <si>
    <t>提取回收体积</t>
  </si>
  <si>
    <t>45 µL</t>
  </si>
  <si>
    <t>C ≤ 0</t>
  </si>
  <si>
    <t>-</t>
  </si>
  <si>
    <t>移液前停止</t>
  </si>
  <si>
    <t>提取定量取样</t>
  </si>
  <si>
    <t>2.2 µL</t>
  </si>
  <si>
    <t>0 &lt; C &lt; 20</t>
  </si>
  <si>
    <t>30 µL</t>
  </si>
  <si>
    <t>0 µL；低于目标但保留</t>
  </si>
  <si>
    <t>Qubit工作液</t>
  </si>
  <si>
    <t>217.8 µL/样本/轮，共2轮</t>
  </si>
  <si>
    <t>20 ≤ C ≤ 200</t>
  </si>
  <si>
    <t>600/C µL</t>
  </si>
  <si>
    <t>30 - 600/C µL</t>
  </si>
  <si>
    <t>目标浓度</t>
  </si>
  <si>
    <t>20 ng/µL</t>
  </si>
  <si>
    <t>C &gt; 200</t>
  </si>
  <si>
    <t>&lt;3 µL</t>
  </si>
  <si>
    <t>移液前停止，避免贴近小体积下限</t>
  </si>
  <si>
    <t>目标体积</t>
  </si>
  <si>
    <t>建库投入</t>
  </si>
  <si>
    <t>14 µL</t>
  </si>
  <si>
    <t>直接稀释允许范围</t>
  </si>
  <si>
    <t>20-200 ng/µL</t>
  </si>
  <si>
    <t>板位</t>
  </si>
  <si>
    <t>用途</t>
  </si>
  <si>
    <t>输出文件</t>
  </si>
  <si>
    <t>POS8</t>
  </si>
  <si>
    <t>提取产物原液</t>
  </si>
  <si>
    <t>Col1-6</t>
  </si>
  <si>
    <t>PTseq_Extraction.xlsx</t>
  </si>
  <si>
    <t>提取浓度</t>
  </si>
  <si>
    <t>均一化产物</t>
  </si>
  <si>
    <t>Col7-12</t>
  </si>
  <si>
    <t>PTseq_normalization_info.csv</t>
  </si>
  <si>
    <t>取样/补水/状态</t>
  </si>
  <si>
    <t>POS14</t>
  </si>
  <si>
    <t>提取产物定量管</t>
  </si>
  <si>
    <t>PTseq_Library.xlsx</t>
  </si>
  <si>
    <t>最终文库浓度</t>
  </si>
  <si>
    <t>最终文库定量管</t>
  </si>
  <si>
    <t>POS30</t>
  </si>
  <si>
    <t>备用50 µL枪头</t>
  </si>
  <si>
    <t>第5盒</t>
  </si>
  <si>
    <t>E25 DNB试剂分装（Sequencing Prep / Full 通用）</t>
  </si>
  <si>
    <t>E25 full 与 sequencing prep 的 makeDNB 试剂位置和机器取液逻辑一致；Mix I 大体积加入 Mix II 小体积管。单位：µL。</t>
  </si>
  <si>
    <t>试剂名称</t>
  </si>
  <si>
    <t>耗材</t>
  </si>
  <si>
    <t>配置公式</t>
  </si>
  <si>
    <t>DNB制备缓冲液（OS-V2.0-SB）</t>
  </si>
  <si>
    <t>POS17 C1R5</t>
  </si>
  <si>
    <t>20 × D + 20</t>
  </si>
  <si>
    <t>DNB聚合酶混合液 I（OS）</t>
  </si>
  <si>
    <t>POS17 C2R5</t>
  </si>
  <si>
    <t>40 × (D + 0.5)</t>
  </si>
  <si>
    <t>DNB聚合酶混合液 II（OS）†</t>
  </si>
  <si>
    <t>POS17 C3R5</t>
  </si>
  <si>
    <t>5 × D + 10（按分装表）</t>
  </si>
  <si>
    <t>DNB终止缓冲液</t>
  </si>
  <si>
    <t>POS17 C4R5</t>
  </si>
  <si>
    <t>G99 DNB试剂分装（Sequencing Prep / Full 通用）</t>
  </si>
  <si>
    <t>G99 full 与 sequencing prep 的 makeDNB 试剂位置和机器取液逻辑一致；D1加入D2，Mix I加入Mix II。D1按整µL向上取整。单位：µL。</t>
  </si>
  <si>
    <t>环化反应缓冲液（D1）</t>
  </si>
  <si>
    <t>POS17 C1R4</t>
  </si>
  <si>
    <t>ROUNDUP[11.6 × (D + 1) + 6]</t>
  </si>
  <si>
    <t>环化反应酶（D2）†</t>
  </si>
  <si>
    <t>POS17 C2R4</t>
  </si>
  <si>
    <t>0.5 × (D + 1)</t>
  </si>
  <si>
    <t>DNB制备缓冲液（SB）</t>
  </si>
  <si>
    <t>14 × D + 6</t>
  </si>
  <si>
    <t>聚合酶 Mix I（E1）</t>
  </si>
  <si>
    <t>20 × (D + 0.5) + 6</t>
  </si>
  <si>
    <t>聚合酶 Mix II（E2）†</t>
  </si>
  <si>
    <t>2 × (D + 0.5)</t>
  </si>
  <si>
    <t>G200/2000 DNB试剂分装（Sequencing Prep / Full）</t>
  </si>
  <si>
    <t>本表按提供的操作表保留：8/12/24/48样本分别映射D=1/2/3/6。当前main代码将所有有效样本归入1个DNB，运行前应按实际脚本版本确认D。单位：µL。</t>
  </si>
  <si>
    <t>代码计算公式（µL）</t>
  </si>
  <si>
    <t>8样本用量</t>
  </si>
  <si>
    <t>12样本用量</t>
  </si>
  <si>
    <t>24样本用量</t>
  </si>
  <si>
    <t>48样本用量</t>
  </si>
  <si>
    <t>对应D值</t>
  </si>
  <si>
    <t>提供表格的D映射</t>
  </si>
  <si>
    <t>D × 16.24 + 6</t>
  </si>
  <si>
    <t>D × 0.5</t>
  </si>
  <si>
    <t>D × 28.0 + 6</t>
  </si>
  <si>
    <t>D × 56.0 + 6</t>
  </si>
  <si>
    <t>D × 4.0</t>
  </si>
  <si>
    <t>+400 µL</t>
  </si>
  <si>
    <t>0.5 mL管 +6 µL；2 mL管 +15 µL；8 mL管通常 +320 µL；磁珠总量特例 +400 µL；50 mL储液槽 +1500 µL。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</si>
</sst>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##"/>
    <numFmt numFmtId="177" formatCode="0&quot; DNB&quot;"/>
    <numFmt numFmtId="178" formatCode="0.0"/>
  </numFmts>
  <fonts count="10">
    <font>
      <sz val="11"/>
      <name val="Carlito"/>
    </font>
    <font>
      <b/>
      <sz val="11"/>
      <name val="Carlito"/>
    </font>
    <font>
      <sz val="11"/>
      <name val="Carlito"/>
    </font>
    <font>
      <sz val="9"/>
      <name val="FangSong"/>
      <family val="3"/>
      <charset val="134"/>
    </font>
    <font>
      <b/>
      <sz val="16"/>
      <color rgb="FFFFFFFF"/>
      <name val="Carlito"/>
    </font>
    <font>
      <b/>
      <sz val="11"/>
      <color rgb="FF17365D"/>
      <name val="Carlito"/>
    </font>
    <font>
      <sz val="11"/>
      <color rgb="FF1F2937"/>
      <name val="Aptos"/>
    </font>
    <font>
      <b/>
      <sz val="15"/>
      <color rgb="FFFFFFFF"/>
      <name val="Aptos"/>
    </font>
    <font>
      <i/>
      <sz val="11"/>
      <color rgb="FF7F6000"/>
      <name val="Aptos"/>
    </font>
    <font>
      <b/>
      <sz val="11"/>
      <color rgb="FF1F2937"/>
      <name val="Aptos"/>
    </font>
  </fonts>
  <fills count="9">
    <fill>
      <patternFill patternType="none"/>
    </fill>
    <fill>
      <patternFill patternType="gray125"/>
    </fill>
    <fill>
      <patternFill patternType="solid">
        <fgColor rgb="FFE8F1FA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E2F0D9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  <diagonal/>
    </border>
  </borders>
  <cellStyleXfs count="2">
    <xf numFmtId="0" fontId="0" fillId="0" borderId="1"/>
    <xf numFmtId="0" fontId="2" fillId="0" borderId="1"/>
  </cellStyleXfs>
  <cellXfs count="27">
    <xf numFmtId="0" fontId="0" fillId="0" borderId="0" xfId="0" applyBorder="1"/>
    <xf numFmtId="0" fontId="1" fillId="0" borderId="0" xfId="1" applyFont="1" applyBorder="1" applyAlignment="1">
      <alignment vertical="center" wrapText="1"/>
    </xf>
    <xf numFmtId="0" fontId="0" fillId="0" borderId="0" xfId="1" applyFont="1" applyBorder="1" applyAlignment="1">
      <alignment vertical="center" wrapText="1"/>
    </xf>
    <xf numFmtId="0" fontId="1" fillId="2" borderId="0" xfId="1" applyFont="1" applyFill="1" applyBorder="1" applyAlignment="1">
      <alignment vertical="center" wrapText="1"/>
    </xf>
    <xf numFmtId="0" fontId="0" fillId="0" borderId="1" xfId="1" applyFont="1" applyAlignment="1">
      <alignment vertical="center" wrapText="1"/>
    </xf>
    <xf numFmtId="176" fontId="0" fillId="0" borderId="0" xfId="0" applyNumberFormat="1" applyBorder="1" applyAlignment="1">
      <alignment vertical="center" wrapText="1"/>
    </xf>
    <xf numFmtId="176" fontId="0" fillId="0" borderId="0" xfId="0" applyNumberFormat="1" applyBorder="1"/>
    <xf numFmtId="0" fontId="0" fillId="0" borderId="0" xfId="0" applyBorder="1" applyAlignment="1">
      <alignment vertical="center" wrapText="1"/>
    </xf>
    <xf numFmtId="0" fontId="5" fillId="4" borderId="2" xfId="0" applyFont="1" applyFill="1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9" fillId="7" borderId="12" xfId="0" applyFont="1" applyFill="1" applyBorder="1" applyAlignment="1">
      <alignment horizontal="center" vertical="center" wrapText="1"/>
    </xf>
    <xf numFmtId="177" fontId="9" fillId="7" borderId="12" xfId="0" applyNumberFormat="1" applyFont="1" applyFill="1" applyBorder="1" applyAlignment="1">
      <alignment horizontal="center" vertical="center" wrapText="1"/>
    </xf>
    <xf numFmtId="0" fontId="6" fillId="0" borderId="12" xfId="0" applyFont="1" applyBorder="1" applyAlignment="1">
      <alignment horizontal="left" vertical="center" wrapText="1"/>
    </xf>
    <xf numFmtId="178" fontId="6" fillId="0" borderId="12" xfId="0" applyNumberFormat="1" applyFont="1" applyBorder="1" applyAlignment="1">
      <alignment horizontal="center" vertical="center" wrapText="1"/>
    </xf>
    <xf numFmtId="0" fontId="9" fillId="8" borderId="12" xfId="0" applyFont="1" applyFill="1" applyBorder="1" applyAlignment="1">
      <alignment horizontal="center" vertical="center" wrapText="1"/>
    </xf>
    <xf numFmtId="178" fontId="9" fillId="8" borderId="12" xfId="0" applyNumberFormat="1" applyFont="1" applyFill="1" applyBorder="1" applyAlignment="1">
      <alignment horizontal="center" vertical="center" wrapText="1"/>
    </xf>
    <xf numFmtId="0" fontId="4" fillId="3" borderId="0" xfId="0" applyFont="1" applyFill="1" applyBorder="1" applyAlignment="1">
      <alignment horizontal="center" vertical="center" wrapText="1"/>
    </xf>
    <xf numFmtId="0" fontId="7" fillId="5" borderId="12" xfId="0" applyFont="1" applyFill="1" applyBorder="1" applyAlignment="1">
      <alignment horizontal="left" vertical="center" wrapText="1"/>
    </xf>
    <xf numFmtId="0" fontId="8" fillId="6" borderId="12" xfId="0" applyFont="1" applyFill="1" applyBorder="1" applyAlignment="1">
      <alignment horizontal="left" vertical="center" wrapText="1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7"/>
  <sheetViews>
    <sheetView tabSelected="1" workbookViewId="0"/>
  </sheetViews>
  <sheetFormatPr baseColWidth="10" defaultColWidth="8.83203125" defaultRowHeight="14"/>
  <cols>
    <col min="1" max="1" width="23.5" customWidth="1"/>
    <col min="2" max="2" width="13.83203125" customWidth="1"/>
    <col min="3" max="3" width="12.83203125" hidden="1" customWidth="1"/>
    <col min="4" max="4" width="28.1640625" hidden="1" customWidth="1"/>
    <col min="5" max="5" width="46.33203125" hidden="1" customWidth="1"/>
    <col min="6" max="11" width="7" customWidth="1"/>
  </cols>
  <sheetData>
    <row r="1" spans="1:11" ht="1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spans="1:11">
      <c r="A2" s="2"/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 ht="15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>
        <v>8</v>
      </c>
      <c r="G3" s="3">
        <v>16</v>
      </c>
      <c r="H3" s="3">
        <v>24</v>
      </c>
      <c r="I3" s="3">
        <v>32</v>
      </c>
      <c r="J3" s="3">
        <v>40</v>
      </c>
      <c r="K3" s="3">
        <v>48</v>
      </c>
    </row>
    <row r="4" spans="1:11" ht="15">
      <c r="A4" s="4" t="s">
        <v>6</v>
      </c>
      <c r="B4" s="4" t="s">
        <v>7</v>
      </c>
      <c r="C4" s="4" t="s">
        <v>8</v>
      </c>
      <c r="D4" s="4" t="s">
        <v>9</v>
      </c>
      <c r="E4" s="4" t="s">
        <v>10</v>
      </c>
      <c r="F4" s="7">
        <v>25</v>
      </c>
      <c r="G4" s="7">
        <v>40</v>
      </c>
      <c r="H4" s="7">
        <v>55</v>
      </c>
      <c r="I4" s="7">
        <v>70</v>
      </c>
      <c r="J4" s="7">
        <v>90</v>
      </c>
      <c r="K4" s="7">
        <v>105</v>
      </c>
    </row>
    <row r="5" spans="1:11" ht="30">
      <c r="A5" s="4" t="s">
        <v>11</v>
      </c>
      <c r="B5" s="4" t="s">
        <v>12</v>
      </c>
      <c r="C5" s="4" t="s">
        <v>8</v>
      </c>
      <c r="D5" s="4" t="s">
        <v>9</v>
      </c>
      <c r="E5" s="4" t="s">
        <v>13</v>
      </c>
      <c r="F5" s="7">
        <v>30</v>
      </c>
      <c r="G5" s="7">
        <v>50</v>
      </c>
      <c r="H5" s="7">
        <v>175</v>
      </c>
      <c r="I5" s="7">
        <v>195</v>
      </c>
      <c r="J5" s="7">
        <v>215</v>
      </c>
      <c r="K5" s="7">
        <v>235</v>
      </c>
    </row>
    <row r="6" spans="1:11" ht="30">
      <c r="A6" s="4" t="s">
        <v>14</v>
      </c>
      <c r="B6" s="4" t="s">
        <v>15</v>
      </c>
      <c r="C6" s="4" t="s">
        <v>8</v>
      </c>
      <c r="D6" s="4" t="s">
        <v>9</v>
      </c>
      <c r="E6" s="4" t="s">
        <v>13</v>
      </c>
      <c r="F6" s="7">
        <v>30</v>
      </c>
      <c r="G6" s="7">
        <v>50</v>
      </c>
      <c r="H6" s="7">
        <v>175</v>
      </c>
      <c r="I6" s="7">
        <v>195</v>
      </c>
      <c r="J6" s="7">
        <v>215</v>
      </c>
      <c r="K6" s="7">
        <v>235</v>
      </c>
    </row>
    <row r="7" spans="1:11" ht="30">
      <c r="A7" s="4" t="s">
        <v>16</v>
      </c>
      <c r="B7" s="4" t="s">
        <v>17</v>
      </c>
      <c r="C7" s="4" t="s">
        <v>8</v>
      </c>
      <c r="D7" s="4" t="s">
        <v>18</v>
      </c>
      <c r="E7" s="4" t="s">
        <v>19</v>
      </c>
      <c r="F7" s="7">
        <v>60</v>
      </c>
      <c r="G7" s="7">
        <v>100</v>
      </c>
      <c r="H7" s="7">
        <v>235</v>
      </c>
      <c r="I7" s="7">
        <v>285</v>
      </c>
      <c r="J7" s="7">
        <v>335</v>
      </c>
      <c r="K7" s="7">
        <v>385</v>
      </c>
    </row>
    <row r="8" spans="1:11" ht="30">
      <c r="A8" s="4" t="s">
        <v>20</v>
      </c>
      <c r="B8" s="4" t="s">
        <v>21</v>
      </c>
      <c r="C8" s="4" t="s">
        <v>8</v>
      </c>
      <c r="D8" s="4" t="s">
        <v>18</v>
      </c>
      <c r="E8" s="4" t="s">
        <v>22</v>
      </c>
      <c r="F8" s="7">
        <v>40</v>
      </c>
      <c r="G8" s="7">
        <v>65</v>
      </c>
      <c r="H8" s="7">
        <v>145</v>
      </c>
      <c r="I8" s="7">
        <v>175</v>
      </c>
      <c r="J8" s="7">
        <v>205</v>
      </c>
      <c r="K8" s="7">
        <v>235</v>
      </c>
    </row>
    <row r="9" spans="1:11" ht="30">
      <c r="A9" s="4" t="s">
        <v>23</v>
      </c>
      <c r="B9" s="4" t="s">
        <v>24</v>
      </c>
      <c r="C9" s="4" t="s">
        <v>25</v>
      </c>
      <c r="D9" s="4" t="s">
        <v>26</v>
      </c>
      <c r="E9" s="4" t="s">
        <v>27</v>
      </c>
      <c r="F9" s="7">
        <v>9</v>
      </c>
      <c r="G9" s="7">
        <v>17</v>
      </c>
      <c r="H9" s="7">
        <v>37.67</v>
      </c>
      <c r="I9" s="7">
        <v>47.67</v>
      </c>
      <c r="J9" s="7">
        <v>57.67</v>
      </c>
      <c r="K9" s="7">
        <v>67.67</v>
      </c>
    </row>
    <row r="10" spans="1:11" ht="30">
      <c r="A10" s="4" t="s">
        <v>28</v>
      </c>
      <c r="B10" s="4" t="s">
        <v>29</v>
      </c>
      <c r="C10" s="4" t="s">
        <v>25</v>
      </c>
      <c r="D10" s="4" t="s">
        <v>30</v>
      </c>
      <c r="E10" s="4" t="s">
        <v>31</v>
      </c>
      <c r="F10" s="7">
        <v>195</v>
      </c>
      <c r="G10" s="7">
        <v>355</v>
      </c>
      <c r="H10" s="7">
        <v>770</v>
      </c>
      <c r="I10" s="7">
        <v>970</v>
      </c>
      <c r="J10" s="7">
        <v>1170</v>
      </c>
      <c r="K10" s="7">
        <v>1370</v>
      </c>
    </row>
    <row r="11" spans="1:11" ht="30">
      <c r="A11" s="4" t="s">
        <v>32</v>
      </c>
      <c r="B11" s="4" t="s">
        <v>33</v>
      </c>
      <c r="C11" s="4" t="s">
        <v>34</v>
      </c>
      <c r="D11" s="4" t="s">
        <v>35</v>
      </c>
      <c r="E11" s="4" t="s">
        <v>36</v>
      </c>
      <c r="F11" s="7">
        <v>1010</v>
      </c>
      <c r="G11" s="7">
        <v>1675</v>
      </c>
      <c r="H11" s="7">
        <v>2590</v>
      </c>
      <c r="I11" s="7">
        <v>3285</v>
      </c>
      <c r="J11" s="7">
        <v>3985</v>
      </c>
      <c r="K11" s="7">
        <v>4680</v>
      </c>
    </row>
    <row r="12" spans="1:11" ht="15">
      <c r="A12" s="4" t="s">
        <v>37</v>
      </c>
      <c r="B12" s="4" t="s">
        <v>38</v>
      </c>
      <c r="C12" s="4" t="s">
        <v>34</v>
      </c>
      <c r="D12" s="4" t="s">
        <v>224</v>
      </c>
      <c r="E12" s="4" t="s">
        <v>39</v>
      </c>
      <c r="F12" s="7">
        <v>1400</v>
      </c>
      <c r="G12" s="7">
        <v>2400</v>
      </c>
      <c r="H12" s="7">
        <v>3400</v>
      </c>
      <c r="I12" s="7">
        <v>4400</v>
      </c>
      <c r="J12" s="7">
        <v>5400</v>
      </c>
      <c r="K12" s="7">
        <v>6400</v>
      </c>
    </row>
    <row r="13" spans="1:11" ht="15">
      <c r="A13" s="4" t="s">
        <v>40</v>
      </c>
      <c r="B13" s="4" t="s">
        <v>41</v>
      </c>
      <c r="C13" s="4" t="s">
        <v>34</v>
      </c>
      <c r="D13" s="4" t="s">
        <v>35</v>
      </c>
      <c r="E13" s="4" t="s">
        <v>42</v>
      </c>
      <c r="F13" s="7">
        <v>880</v>
      </c>
      <c r="G13" s="7">
        <v>1440</v>
      </c>
      <c r="H13" s="7">
        <v>2000</v>
      </c>
      <c r="I13" s="7">
        <v>2240</v>
      </c>
      <c r="J13" s="7">
        <v>2720</v>
      </c>
      <c r="K13" s="7">
        <v>3200</v>
      </c>
    </row>
    <row r="14" spans="1:11" ht="15">
      <c r="A14" s="4" t="s">
        <v>43</v>
      </c>
      <c r="B14" s="4" t="s">
        <v>44</v>
      </c>
      <c r="C14" s="4" t="s">
        <v>45</v>
      </c>
      <c r="D14" s="4" t="s">
        <v>46</v>
      </c>
      <c r="E14" s="4" t="s">
        <v>47</v>
      </c>
      <c r="F14" s="7">
        <v>11000</v>
      </c>
      <c r="G14" s="7">
        <v>18800</v>
      </c>
      <c r="H14" s="7">
        <v>26600</v>
      </c>
      <c r="I14" s="7">
        <v>34400</v>
      </c>
      <c r="J14" s="7">
        <v>42200</v>
      </c>
      <c r="K14" s="7">
        <v>50000</v>
      </c>
    </row>
    <row r="15" spans="1:11" ht="15">
      <c r="A15" s="4" t="s">
        <v>48</v>
      </c>
      <c r="B15" s="4" t="s">
        <v>49</v>
      </c>
      <c r="C15" s="4" t="s">
        <v>45</v>
      </c>
      <c r="D15" s="4" t="s">
        <v>50</v>
      </c>
      <c r="E15" s="4" t="s">
        <v>51</v>
      </c>
      <c r="F15" s="7">
        <f t="shared" ref="F15:K15" si="0">CEILING(F$3*217.8*2+1500,5)</f>
        <v>4985</v>
      </c>
      <c r="G15" s="7">
        <f t="shared" si="0"/>
        <v>8470</v>
      </c>
      <c r="H15" s="7">
        <f t="shared" si="0"/>
        <v>11955</v>
      </c>
      <c r="I15" s="7">
        <f t="shared" si="0"/>
        <v>15440</v>
      </c>
      <c r="J15" s="7">
        <f t="shared" si="0"/>
        <v>18925</v>
      </c>
      <c r="K15" s="7">
        <f t="shared" si="0"/>
        <v>22410</v>
      </c>
    </row>
    <row r="16" spans="1:11" ht="35.75" customHeight="1">
      <c r="A16" t="s">
        <v>52</v>
      </c>
      <c r="B16" t="s">
        <v>53</v>
      </c>
      <c r="C16" t="s">
        <v>54</v>
      </c>
      <c r="D16" t="s">
        <v>55</v>
      </c>
      <c r="E16" t="s">
        <v>56</v>
      </c>
      <c r="F16">
        <f t="shared" ref="F16:K16" si="1">F$3*27+320</f>
        <v>536</v>
      </c>
      <c r="G16">
        <f t="shared" si="1"/>
        <v>752</v>
      </c>
      <c r="H16">
        <f t="shared" si="1"/>
        <v>968</v>
      </c>
      <c r="I16">
        <f t="shared" si="1"/>
        <v>1184</v>
      </c>
      <c r="J16">
        <f t="shared" si="1"/>
        <v>1400</v>
      </c>
      <c r="K16">
        <f t="shared" si="1"/>
        <v>1616</v>
      </c>
    </row>
    <row r="17" ht="35.75" customHeight="1"/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7"/>
  <sheetViews>
    <sheetView workbookViewId="0"/>
  </sheetViews>
  <sheetFormatPr baseColWidth="10" defaultColWidth="8.83203125" defaultRowHeight="14"/>
  <cols>
    <col min="1" max="1" width="23.6640625" customWidth="1"/>
    <col min="2" max="2" width="13.83203125" customWidth="1"/>
    <col min="3" max="3" width="17.5" customWidth="1"/>
    <col min="4" max="4" width="22.83203125" customWidth="1"/>
    <col min="5" max="5" width="7.5" customWidth="1"/>
    <col min="6" max="10" width="8.5" customWidth="1"/>
  </cols>
  <sheetData>
    <row r="1" spans="1:10" ht="30">
      <c r="A1" s="1" t="s">
        <v>57</v>
      </c>
      <c r="B1" s="2"/>
      <c r="C1" s="2"/>
      <c r="D1" s="2"/>
      <c r="E1" s="2"/>
      <c r="F1" s="2"/>
      <c r="G1" s="2"/>
      <c r="H1" s="2"/>
      <c r="I1" s="2"/>
      <c r="J1" s="2"/>
    </row>
    <row r="2" spans="1:10">
      <c r="A2" s="2"/>
      <c r="B2" s="2"/>
      <c r="C2" s="2"/>
      <c r="D2" s="2"/>
      <c r="E2" s="2"/>
      <c r="F2" s="2"/>
      <c r="G2" s="2"/>
      <c r="H2" s="2"/>
      <c r="I2" s="2"/>
      <c r="J2" s="2"/>
    </row>
    <row r="3" spans="1:10" ht="15">
      <c r="A3" s="3" t="s">
        <v>58</v>
      </c>
      <c r="B3" s="3" t="s">
        <v>2</v>
      </c>
      <c r="C3" s="3" t="s">
        <v>59</v>
      </c>
      <c r="D3" s="3" t="s">
        <v>60</v>
      </c>
      <c r="E3" s="3">
        <v>8</v>
      </c>
      <c r="F3" s="3">
        <v>16</v>
      </c>
      <c r="G3" s="3">
        <v>24</v>
      </c>
      <c r="H3" s="3">
        <v>32</v>
      </c>
      <c r="I3" s="3">
        <v>40</v>
      </c>
      <c r="J3" s="3">
        <v>48</v>
      </c>
    </row>
    <row r="4" spans="1:10" ht="15">
      <c r="A4" s="4" t="s">
        <v>6</v>
      </c>
      <c r="B4" s="4" t="s">
        <v>7</v>
      </c>
      <c r="C4" s="4" t="s">
        <v>8</v>
      </c>
      <c r="D4" s="4" t="s">
        <v>10</v>
      </c>
      <c r="E4" s="7">
        <v>16</v>
      </c>
      <c r="F4" s="7">
        <v>32</v>
      </c>
      <c r="G4" s="7">
        <v>48</v>
      </c>
      <c r="H4" s="7">
        <v>64</v>
      </c>
      <c r="I4" s="7">
        <v>80</v>
      </c>
      <c r="J4" s="7">
        <v>96</v>
      </c>
    </row>
    <row r="5" spans="1:10" ht="45">
      <c r="A5" s="4" t="s">
        <v>11</v>
      </c>
      <c r="B5" s="4" t="s">
        <v>12</v>
      </c>
      <c r="C5" s="4" t="s">
        <v>8</v>
      </c>
      <c r="D5" s="4" t="s">
        <v>61</v>
      </c>
      <c r="E5" s="7">
        <v>23.5</v>
      </c>
      <c r="F5" s="7">
        <v>39.5</v>
      </c>
      <c r="G5" s="7">
        <v>167.5</v>
      </c>
      <c r="H5" s="7">
        <v>187.5</v>
      </c>
      <c r="I5" s="7">
        <v>207.5</v>
      </c>
      <c r="J5" s="7">
        <v>227.5</v>
      </c>
    </row>
    <row r="6" spans="1:10" ht="45">
      <c r="A6" s="4" t="s">
        <v>14</v>
      </c>
      <c r="B6" s="4" t="s">
        <v>15</v>
      </c>
      <c r="C6" s="4" t="s">
        <v>8</v>
      </c>
      <c r="D6" s="4" t="s">
        <v>61</v>
      </c>
      <c r="E6" s="7">
        <v>23.5</v>
      </c>
      <c r="F6" s="7">
        <v>39.5</v>
      </c>
      <c r="G6" s="7">
        <v>167.5</v>
      </c>
      <c r="H6" s="7">
        <v>187.5</v>
      </c>
      <c r="I6" s="7">
        <v>207.5</v>
      </c>
      <c r="J6" s="7">
        <v>227.5</v>
      </c>
    </row>
    <row r="7" spans="1:10" ht="45">
      <c r="A7" s="4" t="s">
        <v>16</v>
      </c>
      <c r="B7" s="4" t="s">
        <v>17</v>
      </c>
      <c r="C7" s="4" t="s">
        <v>8</v>
      </c>
      <c r="D7" s="4" t="s">
        <v>62</v>
      </c>
      <c r="E7" s="7">
        <v>48.33</v>
      </c>
      <c r="F7" s="7">
        <v>88.33</v>
      </c>
      <c r="G7" s="7">
        <v>225</v>
      </c>
      <c r="H7" s="7">
        <v>275</v>
      </c>
      <c r="I7" s="7">
        <v>325</v>
      </c>
      <c r="J7" s="7">
        <v>375</v>
      </c>
    </row>
    <row r="8" spans="1:10" ht="45">
      <c r="A8" s="4" t="s">
        <v>20</v>
      </c>
      <c r="B8" s="4" t="s">
        <v>21</v>
      </c>
      <c r="C8" s="4" t="s">
        <v>8</v>
      </c>
      <c r="D8" s="4" t="s">
        <v>63</v>
      </c>
      <c r="E8" s="7">
        <v>29</v>
      </c>
      <c r="F8" s="7">
        <v>53</v>
      </c>
      <c r="G8" s="7">
        <v>135</v>
      </c>
      <c r="H8" s="7">
        <v>165</v>
      </c>
      <c r="I8" s="7">
        <v>195</v>
      </c>
      <c r="J8" s="7">
        <v>225</v>
      </c>
    </row>
    <row r="9" spans="1:10" ht="45">
      <c r="A9" s="4" t="s">
        <v>23</v>
      </c>
      <c r="B9" s="4" t="s">
        <v>24</v>
      </c>
      <c r="C9" s="4" t="s">
        <v>64</v>
      </c>
      <c r="D9" s="4" t="s">
        <v>65</v>
      </c>
      <c r="E9" s="7">
        <v>9</v>
      </c>
      <c r="F9" s="7">
        <v>17</v>
      </c>
      <c r="G9" s="7">
        <v>37.67</v>
      </c>
      <c r="H9" s="7">
        <v>47.67</v>
      </c>
      <c r="I9" s="7">
        <v>57.67</v>
      </c>
      <c r="J9" s="7">
        <v>67.67</v>
      </c>
    </row>
    <row r="10" spans="1:10" ht="45">
      <c r="A10" s="4" t="s">
        <v>28</v>
      </c>
      <c r="B10" s="4" t="s">
        <v>29</v>
      </c>
      <c r="C10" s="4" t="s">
        <v>25</v>
      </c>
      <c r="D10" s="4" t="s">
        <v>66</v>
      </c>
      <c r="E10" s="7">
        <v>180</v>
      </c>
      <c r="F10" s="7">
        <v>340</v>
      </c>
      <c r="G10" s="7">
        <v>753.33</v>
      </c>
      <c r="H10" s="7">
        <v>953.33</v>
      </c>
      <c r="I10" s="7">
        <v>1153.33</v>
      </c>
      <c r="J10" s="7">
        <v>1353.33</v>
      </c>
    </row>
    <row r="11" spans="1:10" ht="45">
      <c r="A11" s="4" t="s">
        <v>32</v>
      </c>
      <c r="B11" s="4" t="s">
        <v>33</v>
      </c>
      <c r="C11" s="4" t="s">
        <v>34</v>
      </c>
      <c r="D11" s="4" t="s">
        <v>67</v>
      </c>
      <c r="E11" s="7">
        <v>686.27</v>
      </c>
      <c r="F11" s="7">
        <v>1351.87</v>
      </c>
      <c r="G11" s="7">
        <v>2266.8000000000002</v>
      </c>
      <c r="H11" s="7">
        <v>2964.4</v>
      </c>
      <c r="I11" s="7">
        <v>3662</v>
      </c>
      <c r="J11" s="7">
        <v>4359.6000000000004</v>
      </c>
    </row>
    <row r="12" spans="1:10" ht="30">
      <c r="A12" s="4" t="s">
        <v>37</v>
      </c>
      <c r="B12" s="4" t="s">
        <v>38</v>
      </c>
      <c r="C12" s="4" t="s">
        <v>34</v>
      </c>
      <c r="D12" s="4" t="s">
        <v>39</v>
      </c>
      <c r="E12" s="7">
        <v>1000</v>
      </c>
      <c r="F12" s="7">
        <v>2000</v>
      </c>
      <c r="G12" s="7">
        <v>3000</v>
      </c>
      <c r="H12" s="7">
        <v>4000</v>
      </c>
      <c r="I12" s="7">
        <v>5000</v>
      </c>
      <c r="J12" s="7">
        <v>6000</v>
      </c>
    </row>
    <row r="13" spans="1:10" ht="30">
      <c r="A13" s="4" t="s">
        <v>40</v>
      </c>
      <c r="B13" s="4" t="s">
        <v>41</v>
      </c>
      <c r="C13" s="4" t="s">
        <v>34</v>
      </c>
      <c r="D13" s="4" t="s">
        <v>42</v>
      </c>
      <c r="E13" s="7">
        <v>560</v>
      </c>
      <c r="F13" s="7">
        <v>1120</v>
      </c>
      <c r="G13" s="7">
        <v>1680</v>
      </c>
      <c r="H13" s="7">
        <v>1920</v>
      </c>
      <c r="I13" s="7">
        <v>2400</v>
      </c>
      <c r="J13" s="7">
        <v>2880</v>
      </c>
    </row>
    <row r="14" spans="1:10" ht="15">
      <c r="A14" s="4" t="s">
        <v>43</v>
      </c>
      <c r="B14" s="4" t="s">
        <v>44</v>
      </c>
      <c r="C14" s="4" t="s">
        <v>45</v>
      </c>
      <c r="D14" s="4" t="s">
        <v>47</v>
      </c>
      <c r="E14" s="7">
        <v>7800</v>
      </c>
      <c r="F14" s="7">
        <v>15600</v>
      </c>
      <c r="G14" s="7">
        <v>23400</v>
      </c>
      <c r="H14" s="7">
        <v>31200</v>
      </c>
      <c r="I14" s="7">
        <v>39000</v>
      </c>
      <c r="J14" s="7">
        <v>46800</v>
      </c>
    </row>
    <row r="15" spans="1:10" ht="15">
      <c r="A15" s="4" t="s">
        <v>48</v>
      </c>
      <c r="B15" s="4" t="s">
        <v>49</v>
      </c>
      <c r="C15" s="4" t="s">
        <v>45</v>
      </c>
      <c r="D15" s="4" t="s">
        <v>68</v>
      </c>
      <c r="E15" s="7">
        <f t="shared" ref="E15:J15" si="0">E$3*217.8*2</f>
        <v>3484.8</v>
      </c>
      <c r="F15" s="7">
        <f t="shared" si="0"/>
        <v>6969.6</v>
      </c>
      <c r="G15" s="7">
        <f t="shared" si="0"/>
        <v>10454.400000000001</v>
      </c>
      <c r="H15" s="7">
        <f t="shared" si="0"/>
        <v>13939.2</v>
      </c>
      <c r="I15" s="7">
        <f t="shared" si="0"/>
        <v>17424</v>
      </c>
      <c r="J15" s="7">
        <f t="shared" si="0"/>
        <v>20908.800000000003</v>
      </c>
    </row>
    <row r="16" spans="1:10" ht="35.75" customHeight="1">
      <c r="A16" t="s">
        <v>52</v>
      </c>
      <c r="B16" t="s">
        <v>53</v>
      </c>
      <c r="C16" t="s">
        <v>54</v>
      </c>
      <c r="D16" t="s">
        <v>69</v>
      </c>
      <c r="E16">
        <f t="shared" ref="E16:J16" si="1">E$3*27</f>
        <v>216</v>
      </c>
      <c r="F16">
        <f t="shared" si="1"/>
        <v>432</v>
      </c>
      <c r="G16">
        <f t="shared" si="1"/>
        <v>648</v>
      </c>
      <c r="H16">
        <f t="shared" si="1"/>
        <v>864</v>
      </c>
      <c r="I16">
        <f t="shared" si="1"/>
        <v>1080</v>
      </c>
      <c r="J16">
        <f t="shared" si="1"/>
        <v>1296</v>
      </c>
    </row>
    <row r="17" ht="35.75" customHeight="1"/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63"/>
  <sheetViews>
    <sheetView workbookViewId="0"/>
  </sheetViews>
  <sheetFormatPr baseColWidth="10" defaultColWidth="8.83203125" defaultRowHeight="14"/>
  <cols>
    <col min="1" max="1" width="18.1640625" customWidth="1"/>
    <col min="2" max="2" width="20.6640625" customWidth="1"/>
    <col min="3" max="3" width="19" customWidth="1"/>
    <col min="4" max="4" width="12.33203125" customWidth="1"/>
    <col min="5" max="5" width="88.33203125" customWidth="1"/>
  </cols>
  <sheetData>
    <row r="1" spans="1:5" ht="15">
      <c r="A1" s="1" t="s">
        <v>70</v>
      </c>
      <c r="B1" s="2"/>
      <c r="C1" s="2"/>
      <c r="D1" s="2"/>
      <c r="E1" s="2"/>
    </row>
    <row r="2" spans="1:5">
      <c r="A2" s="2"/>
      <c r="B2" s="2"/>
      <c r="C2" s="2"/>
      <c r="D2" s="2"/>
      <c r="E2" s="2"/>
    </row>
    <row r="3" spans="1:5" ht="15">
      <c r="A3" s="3" t="s">
        <v>71</v>
      </c>
      <c r="B3" s="3" t="s">
        <v>72</v>
      </c>
      <c r="C3" s="3" t="s">
        <v>73</v>
      </c>
      <c r="D3" s="3" t="s">
        <v>74</v>
      </c>
      <c r="E3" s="3" t="s">
        <v>75</v>
      </c>
    </row>
    <row r="4" spans="1:5" ht="15">
      <c r="A4" s="4">
        <v>8</v>
      </c>
      <c r="B4" s="4" t="s">
        <v>76</v>
      </c>
      <c r="C4" s="4" t="s">
        <v>77</v>
      </c>
      <c r="D4" s="5" t="s">
        <v>78</v>
      </c>
      <c r="E4" s="4" t="s">
        <v>79</v>
      </c>
    </row>
    <row r="5" spans="1:5" ht="15">
      <c r="A5" s="4">
        <v>8</v>
      </c>
      <c r="B5" s="4" t="s">
        <v>80</v>
      </c>
      <c r="C5" s="4" t="s">
        <v>81</v>
      </c>
      <c r="D5" s="5">
        <v>47</v>
      </c>
      <c r="E5" s="4" t="s">
        <v>82</v>
      </c>
    </row>
    <row r="6" spans="1:5" ht="15">
      <c r="A6" s="4">
        <v>8</v>
      </c>
      <c r="B6" s="4" t="s">
        <v>83</v>
      </c>
      <c r="C6" s="4" t="s">
        <v>81</v>
      </c>
      <c r="D6" s="5">
        <v>145</v>
      </c>
      <c r="E6" s="4" t="s">
        <v>84</v>
      </c>
    </row>
    <row r="7" spans="1:5" ht="30">
      <c r="A7" s="4">
        <v>8</v>
      </c>
      <c r="B7" s="4" t="s">
        <v>85</v>
      </c>
      <c r="C7" s="4" t="s">
        <v>81</v>
      </c>
      <c r="D7" s="5">
        <v>270</v>
      </c>
      <c r="E7" s="4" t="s">
        <v>86</v>
      </c>
    </row>
    <row r="8" spans="1:5" ht="15">
      <c r="A8" s="4">
        <v>8</v>
      </c>
      <c r="B8" s="4" t="s">
        <v>87</v>
      </c>
      <c r="C8" s="4" t="s">
        <v>88</v>
      </c>
      <c r="D8" s="5">
        <v>67.67</v>
      </c>
      <c r="E8" s="4" t="s">
        <v>89</v>
      </c>
    </row>
    <row r="9" spans="1:5" ht="15">
      <c r="A9" s="4">
        <v>8</v>
      </c>
      <c r="B9" s="4" t="s">
        <v>87</v>
      </c>
      <c r="C9" s="4" t="s">
        <v>90</v>
      </c>
      <c r="D9" s="5">
        <v>537.6</v>
      </c>
      <c r="E9" s="4" t="s">
        <v>91</v>
      </c>
    </row>
    <row r="10" spans="1:5" ht="15">
      <c r="A10" s="4">
        <v>8</v>
      </c>
      <c r="B10" s="4" t="s">
        <v>87</v>
      </c>
      <c r="C10" s="4" t="s">
        <v>92</v>
      </c>
      <c r="D10" s="5">
        <v>81</v>
      </c>
      <c r="E10" s="4" t="s">
        <v>93</v>
      </c>
    </row>
    <row r="11" spans="1:5" ht="15">
      <c r="A11" s="4">
        <v>8</v>
      </c>
      <c r="B11" s="4" t="s">
        <v>94</v>
      </c>
      <c r="C11" s="4" t="s">
        <v>95</v>
      </c>
      <c r="D11" s="5">
        <f>A11*217.8*2+1500</f>
        <v>4984.8</v>
      </c>
      <c r="E11" s="4" t="s">
        <v>96</v>
      </c>
    </row>
    <row r="12" spans="1:5" ht="15">
      <c r="A12" s="4">
        <v>16</v>
      </c>
      <c r="B12" s="4" t="s">
        <v>76</v>
      </c>
      <c r="C12" s="4" t="s">
        <v>77</v>
      </c>
      <c r="D12" s="5" t="s">
        <v>78</v>
      </c>
      <c r="E12" s="4" t="s">
        <v>79</v>
      </c>
    </row>
    <row r="13" spans="1:5" ht="15">
      <c r="A13" s="4">
        <v>16</v>
      </c>
      <c r="B13" s="4" t="s">
        <v>80</v>
      </c>
      <c r="C13" s="4" t="s">
        <v>81</v>
      </c>
      <c r="D13" s="5">
        <v>79</v>
      </c>
      <c r="E13" s="4" t="s">
        <v>82</v>
      </c>
    </row>
    <row r="14" spans="1:5" ht="15">
      <c r="A14" s="4">
        <v>16</v>
      </c>
      <c r="B14" s="4" t="s">
        <v>83</v>
      </c>
      <c r="C14" s="4" t="s">
        <v>81</v>
      </c>
      <c r="D14" s="5">
        <v>265</v>
      </c>
      <c r="E14" s="4" t="s">
        <v>84</v>
      </c>
    </row>
    <row r="15" spans="1:5" ht="30">
      <c r="A15" s="4">
        <v>16</v>
      </c>
      <c r="B15" s="4" t="s">
        <v>85</v>
      </c>
      <c r="C15" s="4" t="s">
        <v>81</v>
      </c>
      <c r="D15" s="5">
        <v>510</v>
      </c>
      <c r="E15" s="4" t="s">
        <v>86</v>
      </c>
    </row>
    <row r="16" spans="1:5" ht="15">
      <c r="A16" s="4">
        <v>16</v>
      </c>
      <c r="B16" s="4" t="s">
        <v>87</v>
      </c>
      <c r="C16" s="4" t="s">
        <v>88</v>
      </c>
      <c r="D16" s="5">
        <v>123.67</v>
      </c>
      <c r="E16" s="4" t="s">
        <v>89</v>
      </c>
    </row>
    <row r="17" spans="1:5" ht="15">
      <c r="A17" s="4">
        <v>16</v>
      </c>
      <c r="B17" s="4" t="s">
        <v>87</v>
      </c>
      <c r="C17" s="4" t="s">
        <v>90</v>
      </c>
      <c r="D17" s="5">
        <v>1075.2</v>
      </c>
      <c r="E17" s="4" t="s">
        <v>91</v>
      </c>
    </row>
    <row r="18" spans="1:5" ht="15">
      <c r="A18" s="4">
        <v>16</v>
      </c>
      <c r="B18" s="4" t="s">
        <v>87</v>
      </c>
      <c r="C18" s="4" t="s">
        <v>92</v>
      </c>
      <c r="D18" s="5">
        <v>153</v>
      </c>
      <c r="E18" s="4" t="s">
        <v>93</v>
      </c>
    </row>
    <row r="19" spans="1:5" ht="15">
      <c r="A19" s="4">
        <v>16</v>
      </c>
      <c r="B19" s="4" t="s">
        <v>94</v>
      </c>
      <c r="C19" s="4" t="s">
        <v>95</v>
      </c>
      <c r="D19" s="5">
        <f>A19*217.8*2+1500</f>
        <v>8469.6</v>
      </c>
      <c r="E19" s="4" t="s">
        <v>96</v>
      </c>
    </row>
    <row r="20" spans="1:5" ht="15">
      <c r="A20" s="4">
        <v>24</v>
      </c>
      <c r="B20" s="4" t="s">
        <v>76</v>
      </c>
      <c r="C20" s="4" t="s">
        <v>77</v>
      </c>
      <c r="D20" s="5" t="s">
        <v>97</v>
      </c>
      <c r="E20" s="4" t="s">
        <v>79</v>
      </c>
    </row>
    <row r="21" spans="1:5" ht="15">
      <c r="A21" s="4">
        <v>24</v>
      </c>
      <c r="B21" s="4" t="s">
        <v>80</v>
      </c>
      <c r="C21" s="4" t="s">
        <v>81</v>
      </c>
      <c r="D21" s="5">
        <v>335</v>
      </c>
      <c r="E21" s="4" t="s">
        <v>82</v>
      </c>
    </row>
    <row r="22" spans="1:5" ht="15">
      <c r="A22" s="4">
        <v>24</v>
      </c>
      <c r="B22" s="4" t="s">
        <v>83</v>
      </c>
      <c r="C22" s="4" t="s">
        <v>81</v>
      </c>
      <c r="D22" s="5">
        <v>675</v>
      </c>
      <c r="E22" s="4" t="s">
        <v>84</v>
      </c>
    </row>
    <row r="23" spans="1:5" ht="30">
      <c r="A23" s="4">
        <v>24</v>
      </c>
      <c r="B23" s="4" t="s">
        <v>85</v>
      </c>
      <c r="C23" s="4" t="s">
        <v>81</v>
      </c>
      <c r="D23" s="5">
        <v>1130</v>
      </c>
      <c r="E23" s="4" t="s">
        <v>86</v>
      </c>
    </row>
    <row r="24" spans="1:5" ht="15">
      <c r="A24" s="4">
        <v>24</v>
      </c>
      <c r="B24" s="4" t="s">
        <v>87</v>
      </c>
      <c r="C24" s="4" t="s">
        <v>88</v>
      </c>
      <c r="D24" s="5">
        <v>315</v>
      </c>
      <c r="E24" s="4" t="s">
        <v>89</v>
      </c>
    </row>
    <row r="25" spans="1:5" ht="15">
      <c r="A25" s="4">
        <v>24</v>
      </c>
      <c r="B25" s="4" t="s">
        <v>87</v>
      </c>
      <c r="C25" s="4" t="s">
        <v>90</v>
      </c>
      <c r="D25" s="5">
        <v>1612.8</v>
      </c>
      <c r="E25" s="4" t="s">
        <v>91</v>
      </c>
    </row>
    <row r="26" spans="1:5" ht="15">
      <c r="A26" s="4">
        <v>24</v>
      </c>
      <c r="B26" s="4" t="s">
        <v>87</v>
      </c>
      <c r="C26" s="4" t="s">
        <v>92</v>
      </c>
      <c r="D26" s="5">
        <v>339</v>
      </c>
      <c r="E26" s="4" t="s">
        <v>93</v>
      </c>
    </row>
    <row r="27" spans="1:5" ht="15">
      <c r="A27" s="4">
        <v>24</v>
      </c>
      <c r="B27" s="4" t="s">
        <v>94</v>
      </c>
      <c r="C27" s="4" t="s">
        <v>95</v>
      </c>
      <c r="D27" s="5">
        <f>A27*217.8*2+1500</f>
        <v>11954.400000000001</v>
      </c>
      <c r="E27" s="4" t="s">
        <v>96</v>
      </c>
    </row>
    <row r="28" spans="1:5" ht="15">
      <c r="A28" s="4">
        <v>32</v>
      </c>
      <c r="B28" s="4" t="s">
        <v>76</v>
      </c>
      <c r="C28" s="4" t="s">
        <v>77</v>
      </c>
      <c r="D28" s="5" t="s">
        <v>97</v>
      </c>
      <c r="E28" s="4" t="s">
        <v>79</v>
      </c>
    </row>
    <row r="29" spans="1:5" ht="15">
      <c r="A29" s="4">
        <v>32</v>
      </c>
      <c r="B29" s="4" t="s">
        <v>80</v>
      </c>
      <c r="C29" s="4" t="s">
        <v>81</v>
      </c>
      <c r="D29" s="5">
        <v>375</v>
      </c>
      <c r="E29" s="4" t="s">
        <v>82</v>
      </c>
    </row>
    <row r="30" spans="1:5" ht="15">
      <c r="A30" s="4">
        <v>32</v>
      </c>
      <c r="B30" s="4" t="s">
        <v>83</v>
      </c>
      <c r="C30" s="4" t="s">
        <v>81</v>
      </c>
      <c r="D30" s="5">
        <v>825</v>
      </c>
      <c r="E30" s="4" t="s">
        <v>84</v>
      </c>
    </row>
    <row r="31" spans="1:5" ht="30">
      <c r="A31" s="4">
        <v>32</v>
      </c>
      <c r="B31" s="4" t="s">
        <v>85</v>
      </c>
      <c r="C31" s="4" t="s">
        <v>81</v>
      </c>
      <c r="D31" s="5">
        <v>1430</v>
      </c>
      <c r="E31" s="4" t="s">
        <v>86</v>
      </c>
    </row>
    <row r="32" spans="1:5" ht="15">
      <c r="A32" s="4">
        <v>32</v>
      </c>
      <c r="B32" s="4" t="s">
        <v>87</v>
      </c>
      <c r="C32" s="4" t="s">
        <v>88</v>
      </c>
      <c r="D32" s="5">
        <v>385</v>
      </c>
      <c r="E32" s="4" t="s">
        <v>89</v>
      </c>
    </row>
    <row r="33" spans="1:5" ht="15">
      <c r="A33" s="4">
        <v>32</v>
      </c>
      <c r="B33" s="4" t="s">
        <v>87</v>
      </c>
      <c r="C33" s="4" t="s">
        <v>90</v>
      </c>
      <c r="D33" s="5">
        <v>2150.4</v>
      </c>
      <c r="E33" s="4" t="s">
        <v>91</v>
      </c>
    </row>
    <row r="34" spans="1:5" ht="15">
      <c r="A34" s="4">
        <v>32</v>
      </c>
      <c r="B34" s="4" t="s">
        <v>87</v>
      </c>
      <c r="C34" s="4" t="s">
        <v>92</v>
      </c>
      <c r="D34" s="5">
        <v>429</v>
      </c>
      <c r="E34" s="4" t="s">
        <v>93</v>
      </c>
    </row>
    <row r="35" spans="1:5" ht="15">
      <c r="A35" s="4">
        <v>32</v>
      </c>
      <c r="B35" s="4" t="s">
        <v>94</v>
      </c>
      <c r="C35" s="4" t="s">
        <v>95</v>
      </c>
      <c r="D35" s="5">
        <f>A35*217.8*2+1500</f>
        <v>15439.2</v>
      </c>
      <c r="E35" s="4" t="s">
        <v>96</v>
      </c>
    </row>
    <row r="36" spans="1:5" ht="15">
      <c r="A36" s="4">
        <v>40</v>
      </c>
      <c r="B36" s="4" t="s">
        <v>76</v>
      </c>
      <c r="C36" s="4" t="s">
        <v>77</v>
      </c>
      <c r="D36" s="5" t="s">
        <v>97</v>
      </c>
      <c r="E36" s="4" t="s">
        <v>79</v>
      </c>
    </row>
    <row r="37" spans="1:5" ht="15">
      <c r="A37" s="4">
        <v>40</v>
      </c>
      <c r="B37" s="4" t="s">
        <v>80</v>
      </c>
      <c r="C37" s="4" t="s">
        <v>81</v>
      </c>
      <c r="D37" s="5">
        <v>415</v>
      </c>
      <c r="E37" s="4" t="s">
        <v>82</v>
      </c>
    </row>
    <row r="38" spans="1:5" ht="15">
      <c r="A38" s="4">
        <v>40</v>
      </c>
      <c r="B38" s="4" t="s">
        <v>83</v>
      </c>
      <c r="C38" s="4" t="s">
        <v>81</v>
      </c>
      <c r="D38" s="5">
        <v>975</v>
      </c>
      <c r="E38" s="4" t="s">
        <v>84</v>
      </c>
    </row>
    <row r="39" spans="1:5" ht="30">
      <c r="A39" s="4">
        <v>40</v>
      </c>
      <c r="B39" s="4" t="s">
        <v>85</v>
      </c>
      <c r="C39" s="4" t="s">
        <v>81</v>
      </c>
      <c r="D39" s="5">
        <v>1730</v>
      </c>
      <c r="E39" s="4" t="s">
        <v>86</v>
      </c>
    </row>
    <row r="40" spans="1:5" ht="15">
      <c r="A40" s="4">
        <v>40</v>
      </c>
      <c r="B40" s="4" t="s">
        <v>87</v>
      </c>
      <c r="C40" s="4" t="s">
        <v>88</v>
      </c>
      <c r="D40" s="5">
        <v>455</v>
      </c>
      <c r="E40" s="4" t="s">
        <v>89</v>
      </c>
    </row>
    <row r="41" spans="1:5" ht="15">
      <c r="A41" s="4">
        <v>40</v>
      </c>
      <c r="B41" s="4" t="s">
        <v>87</v>
      </c>
      <c r="C41" s="4" t="s">
        <v>90</v>
      </c>
      <c r="D41" s="5">
        <v>2688</v>
      </c>
      <c r="E41" s="4" t="s">
        <v>91</v>
      </c>
    </row>
    <row r="42" spans="1:5" ht="15">
      <c r="A42" s="4">
        <v>40</v>
      </c>
      <c r="B42" s="4" t="s">
        <v>87</v>
      </c>
      <c r="C42" s="4" t="s">
        <v>92</v>
      </c>
      <c r="D42" s="5">
        <v>519</v>
      </c>
      <c r="E42" s="4" t="s">
        <v>93</v>
      </c>
    </row>
    <row r="43" spans="1:5" ht="15">
      <c r="A43" s="4">
        <v>40</v>
      </c>
      <c r="B43" s="4" t="s">
        <v>94</v>
      </c>
      <c r="C43" s="4" t="s">
        <v>95</v>
      </c>
      <c r="D43" s="5">
        <f>A43*217.8*2+1500</f>
        <v>18924</v>
      </c>
      <c r="E43" s="4" t="s">
        <v>96</v>
      </c>
    </row>
    <row r="44" spans="1:5" ht="15">
      <c r="A44" s="4">
        <v>48</v>
      </c>
      <c r="B44" s="4" t="s">
        <v>76</v>
      </c>
      <c r="C44" s="4" t="s">
        <v>77</v>
      </c>
      <c r="D44" s="5" t="s">
        <v>97</v>
      </c>
      <c r="E44" s="4" t="s">
        <v>79</v>
      </c>
    </row>
    <row r="45" spans="1:5" ht="15">
      <c r="A45" s="4">
        <v>48</v>
      </c>
      <c r="B45" s="4" t="s">
        <v>80</v>
      </c>
      <c r="C45" s="4" t="s">
        <v>81</v>
      </c>
      <c r="D45" s="5">
        <v>455</v>
      </c>
      <c r="E45" s="4" t="s">
        <v>82</v>
      </c>
    </row>
    <row r="46" spans="1:5" ht="15">
      <c r="A46" s="4">
        <v>48</v>
      </c>
      <c r="B46" s="4" t="s">
        <v>83</v>
      </c>
      <c r="C46" s="4" t="s">
        <v>81</v>
      </c>
      <c r="D46" s="5">
        <v>1125</v>
      </c>
      <c r="E46" s="4" t="s">
        <v>84</v>
      </c>
    </row>
    <row r="47" spans="1:5" ht="30">
      <c r="A47" s="4">
        <v>48</v>
      </c>
      <c r="B47" s="4" t="s">
        <v>85</v>
      </c>
      <c r="C47" s="4" t="s">
        <v>81</v>
      </c>
      <c r="D47" s="5">
        <v>2030</v>
      </c>
      <c r="E47" s="4" t="s">
        <v>86</v>
      </c>
    </row>
    <row r="48" spans="1:5" ht="15">
      <c r="A48" s="4">
        <v>48</v>
      </c>
      <c r="B48" s="4" t="s">
        <v>87</v>
      </c>
      <c r="C48" s="4" t="s">
        <v>88</v>
      </c>
      <c r="D48" s="5">
        <v>525</v>
      </c>
      <c r="E48" s="4" t="s">
        <v>89</v>
      </c>
    </row>
    <row r="49" spans="1:5" ht="15">
      <c r="A49" s="4">
        <v>48</v>
      </c>
      <c r="B49" s="4" t="s">
        <v>87</v>
      </c>
      <c r="C49" s="4" t="s">
        <v>90</v>
      </c>
      <c r="D49" s="5">
        <v>3225.6</v>
      </c>
      <c r="E49" s="4" t="s">
        <v>91</v>
      </c>
    </row>
    <row r="50" spans="1:5" ht="15">
      <c r="A50" s="4">
        <v>48</v>
      </c>
      <c r="B50" s="4" t="s">
        <v>87</v>
      </c>
      <c r="C50" s="4" t="s">
        <v>92</v>
      </c>
      <c r="D50" s="5">
        <v>609</v>
      </c>
      <c r="E50" s="4" t="s">
        <v>93</v>
      </c>
    </row>
    <row r="51" spans="1:5" ht="15">
      <c r="A51" s="4">
        <v>48</v>
      </c>
      <c r="B51" s="4" t="s">
        <v>94</v>
      </c>
      <c r="C51" s="4" t="s">
        <v>95</v>
      </c>
      <c r="D51" s="5">
        <f>A51*217.8*2+1500</f>
        <v>22408.800000000003</v>
      </c>
      <c r="E51" s="4" t="s">
        <v>96</v>
      </c>
    </row>
    <row r="52" spans="1:5" ht="35.75" customHeight="1">
      <c r="A52">
        <v>8</v>
      </c>
      <c r="B52" t="s">
        <v>98</v>
      </c>
      <c r="C52" t="s">
        <v>99</v>
      </c>
      <c r="D52" s="6">
        <f t="shared" ref="D52:D57" si="0">A52*27</f>
        <v>216</v>
      </c>
      <c r="E52" t="s">
        <v>100</v>
      </c>
    </row>
    <row r="53" spans="1:5" ht="71" customHeight="1">
      <c r="A53">
        <v>16</v>
      </c>
      <c r="B53" t="s">
        <v>98</v>
      </c>
      <c r="C53" t="s">
        <v>99</v>
      </c>
      <c r="D53" s="6">
        <f t="shared" si="0"/>
        <v>432</v>
      </c>
      <c r="E53" t="s">
        <v>100</v>
      </c>
    </row>
    <row r="54" spans="1:5" ht="71" customHeight="1">
      <c r="A54">
        <v>24</v>
      </c>
      <c r="B54" t="s">
        <v>98</v>
      </c>
      <c r="C54" t="s">
        <v>99</v>
      </c>
      <c r="D54" s="6">
        <f t="shared" si="0"/>
        <v>648</v>
      </c>
      <c r="E54" t="s">
        <v>100</v>
      </c>
    </row>
    <row r="55" spans="1:5" ht="106.75" customHeight="1">
      <c r="A55">
        <v>32</v>
      </c>
      <c r="B55" t="s">
        <v>98</v>
      </c>
      <c r="C55" t="s">
        <v>99</v>
      </c>
      <c r="D55" s="6">
        <f t="shared" si="0"/>
        <v>864</v>
      </c>
      <c r="E55" t="s">
        <v>100</v>
      </c>
    </row>
    <row r="56" spans="1:5" ht="106.75" customHeight="1">
      <c r="A56">
        <v>40</v>
      </c>
      <c r="B56" t="s">
        <v>98</v>
      </c>
      <c r="C56" t="s">
        <v>99</v>
      </c>
      <c r="D56" s="6">
        <f t="shared" si="0"/>
        <v>1080</v>
      </c>
      <c r="E56" t="s">
        <v>100</v>
      </c>
    </row>
    <row r="57" spans="1:5" ht="106.75" customHeight="1">
      <c r="A57">
        <v>48</v>
      </c>
      <c r="B57" t="s">
        <v>98</v>
      </c>
      <c r="C57" t="s">
        <v>99</v>
      </c>
      <c r="D57" s="6">
        <f t="shared" si="0"/>
        <v>1296</v>
      </c>
      <c r="E57" t="s">
        <v>100</v>
      </c>
    </row>
    <row r="58" spans="1:5" ht="35.75" customHeight="1"/>
    <row r="59" spans="1:5" ht="35.75" customHeight="1"/>
    <row r="60" spans="1:5" ht="35.75" customHeight="1"/>
    <row r="61" spans="1:5" ht="35.75" customHeight="1"/>
    <row r="62" spans="1:5" ht="35.75" customHeight="1"/>
    <row r="63" spans="1:5" ht="71" customHeight="1"/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1"/>
  <sheetViews>
    <sheetView workbookViewId="0"/>
  </sheetViews>
  <sheetFormatPr baseColWidth="10" defaultColWidth="8.83203125" defaultRowHeight="14"/>
  <cols>
    <col min="1" max="1" width="22.33203125" customWidth="1"/>
    <col min="2" max="2" width="143.5" customWidth="1"/>
  </cols>
  <sheetData>
    <row r="1" spans="1:2" ht="15">
      <c r="A1" s="1" t="s">
        <v>101</v>
      </c>
      <c r="B1" s="2"/>
    </row>
    <row r="2" spans="1:2">
      <c r="A2" s="2"/>
      <c r="B2" s="2"/>
    </row>
    <row r="3" spans="1:2" ht="15">
      <c r="A3" s="4" t="s">
        <v>73</v>
      </c>
      <c r="B3" s="4" t="s">
        <v>102</v>
      </c>
    </row>
    <row r="4" spans="1:2" ht="15">
      <c r="A4" s="4" t="s">
        <v>103</v>
      </c>
      <c r="B4" s="4" t="s">
        <v>104</v>
      </c>
    </row>
    <row r="5" spans="1:2" ht="15">
      <c r="A5" s="4" t="s">
        <v>76</v>
      </c>
      <c r="B5" s="4" t="s">
        <v>105</v>
      </c>
    </row>
    <row r="6" spans="1:2" ht="15">
      <c r="A6" s="4" t="s">
        <v>106</v>
      </c>
      <c r="B6" s="4" t="s">
        <v>225</v>
      </c>
    </row>
    <row r="7" spans="1:2" ht="15">
      <c r="A7" s="4" t="s">
        <v>107</v>
      </c>
      <c r="B7" s="4" t="s">
        <v>108</v>
      </c>
    </row>
    <row r="8" spans="1:2" ht="15">
      <c r="A8" s="4" t="s">
        <v>109</v>
      </c>
      <c r="B8" s="4" t="s">
        <v>110</v>
      </c>
    </row>
    <row r="9" spans="1:2" ht="15">
      <c r="A9" s="4" t="s">
        <v>87</v>
      </c>
      <c r="B9" s="4" t="s">
        <v>111</v>
      </c>
    </row>
    <row r="10" spans="1:2" ht="15">
      <c r="A10" s="4" t="s">
        <v>112</v>
      </c>
      <c r="B10" s="4" t="s">
        <v>113</v>
      </c>
    </row>
    <row r="11" spans="1:2" ht="15">
      <c r="A11" s="4" t="s">
        <v>94</v>
      </c>
      <c r="B11" s="4" t="s">
        <v>114</v>
      </c>
    </row>
    <row r="12" spans="1:2" ht="15">
      <c r="A12" s="4" t="s">
        <v>115</v>
      </c>
      <c r="B12" s="4" t="s">
        <v>116</v>
      </c>
    </row>
    <row r="13" spans="1:2">
      <c r="A13" t="s">
        <v>115</v>
      </c>
      <c r="B13" t="s">
        <v>117</v>
      </c>
    </row>
    <row r="14" spans="1:2">
      <c r="A14" t="s">
        <v>115</v>
      </c>
      <c r="B14" t="s">
        <v>118</v>
      </c>
    </row>
    <row r="15" spans="1:2">
      <c r="A15" t="s">
        <v>115</v>
      </c>
      <c r="B15" t="s">
        <v>119</v>
      </c>
    </row>
    <row r="16" spans="1:2">
      <c r="A16" t="s">
        <v>98</v>
      </c>
      <c r="B16" t="s">
        <v>120</v>
      </c>
    </row>
    <row r="17" spans="1:2">
      <c r="A17" t="s">
        <v>121</v>
      </c>
      <c r="B17" t="s">
        <v>122</v>
      </c>
    </row>
    <row r="18" spans="1:2">
      <c r="A18" t="s">
        <v>123</v>
      </c>
      <c r="B18" t="s">
        <v>124</v>
      </c>
    </row>
    <row r="19" spans="1:2">
      <c r="A19" t="s">
        <v>125</v>
      </c>
      <c r="B19" t="s">
        <v>126</v>
      </c>
    </row>
    <row r="20" spans="1:2">
      <c r="A20" t="s">
        <v>115</v>
      </c>
      <c r="B20" t="s">
        <v>127</v>
      </c>
    </row>
    <row r="21" spans="1:2">
      <c r="A21" t="s">
        <v>115</v>
      </c>
      <c r="B21" t="s">
        <v>128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8"/>
  <sheetViews>
    <sheetView showGridLines="0" workbookViewId="0"/>
  </sheetViews>
  <sheetFormatPr baseColWidth="10" defaultColWidth="8.83203125" defaultRowHeight="14"/>
  <cols>
    <col min="1" max="1" width="18" customWidth="1"/>
    <col min="2" max="2" width="28" customWidth="1"/>
    <col min="3" max="3" width="16" customWidth="1"/>
    <col min="4" max="4" width="19" customWidth="1"/>
    <col min="5" max="5" width="24" customWidth="1"/>
    <col min="6" max="6" width="30" customWidth="1"/>
  </cols>
  <sheetData>
    <row r="1" spans="1:6" ht="28" customHeight="1">
      <c r="A1" s="24" t="s">
        <v>129</v>
      </c>
      <c r="B1" s="24"/>
      <c r="C1" s="24"/>
      <c r="D1" s="24"/>
      <c r="E1" s="24"/>
      <c r="F1" s="24"/>
    </row>
    <row r="2" spans="1:6">
      <c r="A2" s="7"/>
      <c r="B2" s="7"/>
      <c r="C2" s="7"/>
      <c r="D2" s="7"/>
      <c r="E2" s="7"/>
      <c r="F2" s="7"/>
    </row>
    <row r="3" spans="1:6" ht="15">
      <c r="A3" s="8" t="s">
        <v>130</v>
      </c>
      <c r="B3" s="8" t="s">
        <v>131</v>
      </c>
      <c r="C3" s="7"/>
      <c r="D3" s="8" t="s">
        <v>132</v>
      </c>
      <c r="E3" s="8" t="s">
        <v>133</v>
      </c>
      <c r="F3" s="8" t="s">
        <v>134</v>
      </c>
    </row>
    <row r="4" spans="1:6" ht="15">
      <c r="A4" s="9" t="s">
        <v>135</v>
      </c>
      <c r="B4" s="10" t="s">
        <v>136</v>
      </c>
      <c r="C4" s="7"/>
      <c r="D4" s="9" t="s">
        <v>137</v>
      </c>
      <c r="E4" s="11" t="s">
        <v>138</v>
      </c>
      <c r="F4" s="10" t="s">
        <v>139</v>
      </c>
    </row>
    <row r="5" spans="1:6" ht="15">
      <c r="A5" s="12" t="s">
        <v>140</v>
      </c>
      <c r="B5" s="13" t="s">
        <v>141</v>
      </c>
      <c r="C5" s="7"/>
      <c r="D5" s="12" t="s">
        <v>142</v>
      </c>
      <c r="E5" s="14" t="s">
        <v>143</v>
      </c>
      <c r="F5" s="13" t="s">
        <v>144</v>
      </c>
    </row>
    <row r="6" spans="1:6" ht="15">
      <c r="A6" s="12" t="s">
        <v>145</v>
      </c>
      <c r="B6" s="13" t="s">
        <v>146</v>
      </c>
      <c r="C6" s="7"/>
      <c r="D6" s="12" t="s">
        <v>147</v>
      </c>
      <c r="E6" s="14" t="s">
        <v>148</v>
      </c>
      <c r="F6" s="13" t="s">
        <v>149</v>
      </c>
    </row>
    <row r="7" spans="1:6" ht="15">
      <c r="A7" s="12" t="s">
        <v>150</v>
      </c>
      <c r="B7" s="13" t="s">
        <v>151</v>
      </c>
      <c r="C7" s="7"/>
      <c r="D7" s="15" t="s">
        <v>152</v>
      </c>
      <c r="E7" s="16" t="s">
        <v>153</v>
      </c>
      <c r="F7" s="17" t="s">
        <v>154</v>
      </c>
    </row>
    <row r="8" spans="1:6" ht="15">
      <c r="A8" s="12" t="s">
        <v>155</v>
      </c>
      <c r="B8" s="13" t="s">
        <v>143</v>
      </c>
      <c r="C8" s="7"/>
      <c r="D8" s="7"/>
      <c r="E8" s="7"/>
      <c r="F8" s="7"/>
    </row>
    <row r="9" spans="1:6" ht="15">
      <c r="A9" s="12" t="s">
        <v>156</v>
      </c>
      <c r="B9" s="13" t="s">
        <v>157</v>
      </c>
      <c r="C9" s="7"/>
      <c r="D9" s="7"/>
      <c r="E9" s="7"/>
      <c r="F9" s="7"/>
    </row>
    <row r="10" spans="1:6" ht="15">
      <c r="A10" s="15" t="s">
        <v>158</v>
      </c>
      <c r="B10" s="17" t="s">
        <v>159</v>
      </c>
      <c r="C10" s="7"/>
      <c r="D10" s="7"/>
      <c r="E10" s="7"/>
      <c r="F10" s="7"/>
    </row>
    <row r="11" spans="1:6">
      <c r="A11" s="7"/>
      <c r="B11" s="7"/>
      <c r="C11" s="7"/>
      <c r="D11" s="7"/>
      <c r="E11" s="7"/>
      <c r="F11" s="7"/>
    </row>
    <row r="12" spans="1:6" ht="15">
      <c r="A12" s="8" t="s">
        <v>160</v>
      </c>
      <c r="B12" s="8" t="s">
        <v>161</v>
      </c>
      <c r="C12" s="8" t="s">
        <v>103</v>
      </c>
      <c r="D12" s="7"/>
      <c r="E12" s="8" t="s">
        <v>162</v>
      </c>
      <c r="F12" s="8" t="s">
        <v>161</v>
      </c>
    </row>
    <row r="13" spans="1:6" ht="15">
      <c r="A13" s="9" t="s">
        <v>163</v>
      </c>
      <c r="B13" s="11" t="s">
        <v>164</v>
      </c>
      <c r="C13" s="10" t="s">
        <v>165</v>
      </c>
      <c r="D13" s="7"/>
      <c r="E13" s="9" t="s">
        <v>166</v>
      </c>
      <c r="F13" s="10" t="s">
        <v>167</v>
      </c>
    </row>
    <row r="14" spans="1:6" ht="30">
      <c r="A14" s="12" t="s">
        <v>163</v>
      </c>
      <c r="B14" s="14" t="s">
        <v>168</v>
      </c>
      <c r="C14" s="13" t="s">
        <v>169</v>
      </c>
      <c r="D14" s="7"/>
      <c r="E14" s="12" t="s">
        <v>170</v>
      </c>
      <c r="F14" s="13" t="s">
        <v>171</v>
      </c>
    </row>
    <row r="15" spans="1:6" ht="15">
      <c r="A15" s="12" t="s">
        <v>172</v>
      </c>
      <c r="B15" s="14" t="s">
        <v>173</v>
      </c>
      <c r="C15" s="13" t="s">
        <v>169</v>
      </c>
      <c r="D15" s="7"/>
      <c r="E15" s="15" t="s">
        <v>174</v>
      </c>
      <c r="F15" s="17" t="s">
        <v>175</v>
      </c>
    </row>
    <row r="16" spans="1:6" ht="15">
      <c r="A16" s="12" t="s">
        <v>172</v>
      </c>
      <c r="B16" s="14" t="s">
        <v>176</v>
      </c>
      <c r="C16" s="13" t="s">
        <v>165</v>
      </c>
      <c r="D16" s="7"/>
      <c r="E16" s="7"/>
      <c r="F16" s="7"/>
    </row>
    <row r="17" spans="1:6" ht="15">
      <c r="A17" s="12" t="s">
        <v>53</v>
      </c>
      <c r="B17" s="14" t="s">
        <v>52</v>
      </c>
      <c r="C17" s="13" t="s">
        <v>54</v>
      </c>
      <c r="D17" s="7"/>
      <c r="E17" s="7"/>
      <c r="F17" s="7"/>
    </row>
    <row r="18" spans="1:6" ht="15">
      <c r="A18" s="15" t="s">
        <v>177</v>
      </c>
      <c r="B18" s="16" t="s">
        <v>178</v>
      </c>
      <c r="C18" s="17" t="s">
        <v>179</v>
      </c>
      <c r="D18" s="7"/>
      <c r="E18" s="7"/>
      <c r="F18" s="7"/>
    </row>
  </sheetData>
  <mergeCells count="1">
    <mergeCell ref="A1:F1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7"/>
  <sheetViews>
    <sheetView showGridLines="0" workbookViewId="0"/>
  </sheetViews>
  <sheetFormatPr baseColWidth="10" defaultColWidth="8.83203125" defaultRowHeight="14"/>
  <cols>
    <col min="1" max="1" width="32" customWidth="1"/>
    <col min="2" max="2" width="18" customWidth="1"/>
    <col min="3" max="3" width="16" customWidth="1"/>
    <col min="4" max="4" width="23" customWidth="1"/>
    <col min="5" max="7" width="12" customWidth="1"/>
  </cols>
  <sheetData>
    <row r="1" spans="1:7" ht="28" customHeight="1">
      <c r="A1" s="25" t="s">
        <v>180</v>
      </c>
      <c r="B1" s="25"/>
      <c r="C1" s="25"/>
      <c r="D1" s="25"/>
      <c r="E1" s="25"/>
      <c r="F1" s="25"/>
      <c r="G1" s="25"/>
    </row>
    <row r="2" spans="1:7" ht="15">
      <c r="A2" s="26" t="s">
        <v>181</v>
      </c>
      <c r="B2" s="26"/>
      <c r="C2" s="26"/>
      <c r="D2" s="26"/>
      <c r="E2" s="26"/>
      <c r="F2" s="26"/>
      <c r="G2" s="26"/>
    </row>
    <row r="3" spans="1:7" ht="32" customHeight="1">
      <c r="A3" s="18" t="s">
        <v>182</v>
      </c>
      <c r="B3" s="18" t="s">
        <v>183</v>
      </c>
      <c r="C3" s="18" t="s">
        <v>2</v>
      </c>
      <c r="D3" s="18" t="s">
        <v>184</v>
      </c>
      <c r="E3" s="19">
        <v>1</v>
      </c>
      <c r="F3" s="19">
        <v>2</v>
      </c>
      <c r="G3" s="19">
        <v>3</v>
      </c>
    </row>
    <row r="4" spans="1:7" ht="30" customHeight="1">
      <c r="A4" s="20" t="s">
        <v>185</v>
      </c>
      <c r="B4" s="20" t="s">
        <v>8</v>
      </c>
      <c r="C4" s="20" t="s">
        <v>186</v>
      </c>
      <c r="D4" s="20" t="s">
        <v>187</v>
      </c>
      <c r="E4" s="21">
        <f>20*E$3+20</f>
        <v>40</v>
      </c>
      <c r="F4" s="21">
        <f>20*F$3+20</f>
        <v>60</v>
      </c>
      <c r="G4" s="21">
        <f>20*G$3+20</f>
        <v>80</v>
      </c>
    </row>
    <row r="5" spans="1:7" ht="30" customHeight="1">
      <c r="A5" s="20" t="s">
        <v>188</v>
      </c>
      <c r="B5" s="20" t="s">
        <v>8</v>
      </c>
      <c r="C5" s="20" t="s">
        <v>189</v>
      </c>
      <c r="D5" s="20" t="s">
        <v>190</v>
      </c>
      <c r="E5" s="21">
        <f>40*(E$3+0.5)</f>
        <v>60</v>
      </c>
      <c r="F5" s="21">
        <f>40*(F$3+0.5)</f>
        <v>100</v>
      </c>
      <c r="G5" s="21">
        <f>40*(G$3+0.5)</f>
        <v>140</v>
      </c>
    </row>
    <row r="6" spans="1:7" ht="30" customHeight="1">
      <c r="A6" s="20" t="s">
        <v>191</v>
      </c>
      <c r="B6" s="20" t="s">
        <v>8</v>
      </c>
      <c r="C6" s="20" t="s">
        <v>192</v>
      </c>
      <c r="D6" s="20" t="s">
        <v>193</v>
      </c>
      <c r="E6" s="21">
        <f>5*E$3+10</f>
        <v>15</v>
      </c>
      <c r="F6" s="21">
        <f>5*F$3+10</f>
        <v>20</v>
      </c>
      <c r="G6" s="21">
        <f>5*G$3+10</f>
        <v>25</v>
      </c>
    </row>
    <row r="7" spans="1:7" ht="30" customHeight="1">
      <c r="A7" s="20" t="s">
        <v>194</v>
      </c>
      <c r="B7" s="20" t="s">
        <v>8</v>
      </c>
      <c r="C7" s="20" t="s">
        <v>195</v>
      </c>
      <c r="D7" s="20" t="s">
        <v>187</v>
      </c>
      <c r="E7" s="21">
        <f>20*E$3+20</f>
        <v>40</v>
      </c>
      <c r="F7" s="21">
        <f>20*F$3+20</f>
        <v>60</v>
      </c>
      <c r="G7" s="21">
        <f>20*G$3+20</f>
        <v>80</v>
      </c>
    </row>
  </sheetData>
  <mergeCells count="2">
    <mergeCell ref="A1:G1"/>
    <mergeCell ref="A2:G2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9"/>
  <sheetViews>
    <sheetView showGridLines="0" workbookViewId="0"/>
  </sheetViews>
  <sheetFormatPr baseColWidth="10" defaultColWidth="8.83203125" defaultRowHeight="14"/>
  <cols>
    <col min="1" max="1" width="29" customWidth="1"/>
    <col min="2" max="2" width="18" customWidth="1"/>
    <col min="3" max="3" width="16" customWidth="1"/>
    <col min="4" max="4" width="30" customWidth="1"/>
    <col min="5" max="10" width="11" customWidth="1"/>
  </cols>
  <sheetData>
    <row r="1" spans="1:10" ht="28" customHeight="1">
      <c r="A1" s="25" t="s">
        <v>196</v>
      </c>
      <c r="B1" s="25"/>
      <c r="C1" s="25"/>
      <c r="D1" s="25"/>
      <c r="E1" s="25"/>
      <c r="F1" s="25"/>
      <c r="G1" s="25"/>
      <c r="H1" s="25"/>
      <c r="I1" s="25"/>
      <c r="J1" s="25"/>
    </row>
    <row r="2" spans="1:10" ht="15">
      <c r="A2" s="26" t="s">
        <v>197</v>
      </c>
      <c r="B2" s="26"/>
      <c r="C2" s="26"/>
      <c r="D2" s="26"/>
      <c r="E2" s="26"/>
      <c r="F2" s="26"/>
      <c r="G2" s="26"/>
      <c r="H2" s="26"/>
      <c r="I2" s="26"/>
      <c r="J2" s="26"/>
    </row>
    <row r="3" spans="1:10" ht="32" customHeight="1">
      <c r="A3" s="18" t="s">
        <v>182</v>
      </c>
      <c r="B3" s="18" t="s">
        <v>183</v>
      </c>
      <c r="C3" s="18" t="s">
        <v>2</v>
      </c>
      <c r="D3" s="18" t="s">
        <v>184</v>
      </c>
      <c r="E3" s="19">
        <v>1</v>
      </c>
      <c r="F3" s="19">
        <v>2</v>
      </c>
      <c r="G3" s="19">
        <v>3</v>
      </c>
      <c r="H3" s="19">
        <v>4</v>
      </c>
      <c r="I3" s="19">
        <v>5</v>
      </c>
      <c r="J3" s="19">
        <v>6</v>
      </c>
    </row>
    <row r="4" spans="1:10" ht="30" customHeight="1">
      <c r="A4" s="20" t="s">
        <v>198</v>
      </c>
      <c r="B4" s="20" t="s">
        <v>8</v>
      </c>
      <c r="C4" s="20" t="s">
        <v>199</v>
      </c>
      <c r="D4" s="20" t="s">
        <v>200</v>
      </c>
      <c r="E4" s="21">
        <f t="shared" ref="E4:J4" si="0">ROUNDUP(11.6*(E$3+1)+6,0)</f>
        <v>30</v>
      </c>
      <c r="F4" s="21">
        <f t="shared" si="0"/>
        <v>41</v>
      </c>
      <c r="G4" s="21">
        <f t="shared" si="0"/>
        <v>53</v>
      </c>
      <c r="H4" s="21">
        <f t="shared" si="0"/>
        <v>64</v>
      </c>
      <c r="I4" s="21">
        <f t="shared" si="0"/>
        <v>76</v>
      </c>
      <c r="J4" s="21">
        <f t="shared" si="0"/>
        <v>88</v>
      </c>
    </row>
    <row r="5" spans="1:10" ht="30" customHeight="1">
      <c r="A5" s="20" t="s">
        <v>201</v>
      </c>
      <c r="B5" s="20" t="s">
        <v>8</v>
      </c>
      <c r="C5" s="20" t="s">
        <v>202</v>
      </c>
      <c r="D5" s="20" t="s">
        <v>203</v>
      </c>
      <c r="E5" s="21">
        <f t="shared" ref="E5:J5" si="1">0.5*(E$3+1)</f>
        <v>1</v>
      </c>
      <c r="F5" s="21">
        <f t="shared" si="1"/>
        <v>1.5</v>
      </c>
      <c r="G5" s="21">
        <f t="shared" si="1"/>
        <v>2</v>
      </c>
      <c r="H5" s="21">
        <f t="shared" si="1"/>
        <v>2.5</v>
      </c>
      <c r="I5" s="21">
        <f t="shared" si="1"/>
        <v>3</v>
      </c>
      <c r="J5" s="21">
        <f t="shared" si="1"/>
        <v>3.5</v>
      </c>
    </row>
    <row r="6" spans="1:10" ht="30" customHeight="1">
      <c r="A6" s="20" t="s">
        <v>204</v>
      </c>
      <c r="B6" s="20" t="s">
        <v>8</v>
      </c>
      <c r="C6" s="20" t="s">
        <v>192</v>
      </c>
      <c r="D6" s="20" t="s">
        <v>205</v>
      </c>
      <c r="E6" s="21">
        <f t="shared" ref="E6:J6" si="2">14*E$3+6</f>
        <v>20</v>
      </c>
      <c r="F6" s="21">
        <f t="shared" si="2"/>
        <v>34</v>
      </c>
      <c r="G6" s="21">
        <f t="shared" si="2"/>
        <v>48</v>
      </c>
      <c r="H6" s="21">
        <f t="shared" si="2"/>
        <v>62</v>
      </c>
      <c r="I6" s="21">
        <f t="shared" si="2"/>
        <v>76</v>
      </c>
      <c r="J6" s="21">
        <f t="shared" si="2"/>
        <v>90</v>
      </c>
    </row>
    <row r="7" spans="1:10" ht="30" customHeight="1">
      <c r="A7" s="20" t="s">
        <v>206</v>
      </c>
      <c r="B7" s="20" t="s">
        <v>8</v>
      </c>
      <c r="C7" s="20" t="s">
        <v>186</v>
      </c>
      <c r="D7" s="20" t="s">
        <v>207</v>
      </c>
      <c r="E7" s="21">
        <f t="shared" ref="E7:J7" si="3">20*(E$3+0.5)+6</f>
        <v>36</v>
      </c>
      <c r="F7" s="21">
        <f t="shared" si="3"/>
        <v>56</v>
      </c>
      <c r="G7" s="21">
        <f t="shared" si="3"/>
        <v>76</v>
      </c>
      <c r="H7" s="21">
        <f t="shared" si="3"/>
        <v>96</v>
      </c>
      <c r="I7" s="21">
        <f t="shared" si="3"/>
        <v>116</v>
      </c>
      <c r="J7" s="21">
        <f t="shared" si="3"/>
        <v>136</v>
      </c>
    </row>
    <row r="8" spans="1:10" ht="30" customHeight="1">
      <c r="A8" s="20" t="s">
        <v>208</v>
      </c>
      <c r="B8" s="20" t="s">
        <v>8</v>
      </c>
      <c r="C8" s="20" t="s">
        <v>189</v>
      </c>
      <c r="D8" s="20" t="s">
        <v>209</v>
      </c>
      <c r="E8" s="21">
        <f t="shared" ref="E8:J8" si="4">2*(E$3+0.5)</f>
        <v>3</v>
      </c>
      <c r="F8" s="21">
        <f t="shared" si="4"/>
        <v>5</v>
      </c>
      <c r="G8" s="21">
        <f t="shared" si="4"/>
        <v>7</v>
      </c>
      <c r="H8" s="21">
        <f t="shared" si="4"/>
        <v>9</v>
      </c>
      <c r="I8" s="21">
        <f t="shared" si="4"/>
        <v>11</v>
      </c>
      <c r="J8" s="21">
        <f t="shared" si="4"/>
        <v>13</v>
      </c>
    </row>
    <row r="9" spans="1:10" ht="30" customHeight="1">
      <c r="A9" s="20" t="s">
        <v>194</v>
      </c>
      <c r="B9" s="20" t="s">
        <v>8</v>
      </c>
      <c r="C9" s="20" t="s">
        <v>195</v>
      </c>
      <c r="D9" s="20" t="s">
        <v>205</v>
      </c>
      <c r="E9" s="21">
        <f t="shared" ref="E9:J9" si="5">14*E$3+6</f>
        <v>20</v>
      </c>
      <c r="F9" s="21">
        <f t="shared" si="5"/>
        <v>34</v>
      </c>
      <c r="G9" s="21">
        <f t="shared" si="5"/>
        <v>48</v>
      </c>
      <c r="H9" s="21">
        <f t="shared" si="5"/>
        <v>62</v>
      </c>
      <c r="I9" s="21">
        <f t="shared" si="5"/>
        <v>76</v>
      </c>
      <c r="J9" s="21">
        <f t="shared" si="5"/>
        <v>90</v>
      </c>
    </row>
  </sheetData>
  <mergeCells count="2">
    <mergeCell ref="A1:J1"/>
    <mergeCell ref="A2:J2"/>
  </mergeCells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0"/>
  <sheetViews>
    <sheetView showGridLines="0" workbookViewId="0"/>
  </sheetViews>
  <sheetFormatPr baseColWidth="10" defaultColWidth="8.83203125" defaultRowHeight="14"/>
  <cols>
    <col min="1" max="1" width="29" customWidth="1"/>
    <col min="2" max="2" width="18" customWidth="1"/>
    <col min="3" max="3" width="16" customWidth="1"/>
    <col min="4" max="4" width="24" customWidth="1"/>
    <col min="5" max="8" width="15" customWidth="1"/>
  </cols>
  <sheetData>
    <row r="1" spans="1:8" ht="28" customHeight="1">
      <c r="A1" s="25" t="s">
        <v>210</v>
      </c>
      <c r="B1" s="25"/>
      <c r="C1" s="25"/>
      <c r="D1" s="25"/>
      <c r="E1" s="25"/>
      <c r="F1" s="25"/>
      <c r="G1" s="25"/>
      <c r="H1" s="25"/>
    </row>
    <row r="2" spans="1:8" ht="15">
      <c r="A2" s="26" t="s">
        <v>211</v>
      </c>
      <c r="B2" s="26"/>
      <c r="C2" s="26"/>
      <c r="D2" s="26"/>
      <c r="E2" s="26"/>
      <c r="F2" s="26"/>
      <c r="G2" s="26"/>
      <c r="H2" s="26"/>
    </row>
    <row r="3" spans="1:8" ht="32" customHeight="1">
      <c r="A3" s="18" t="s">
        <v>182</v>
      </c>
      <c r="B3" s="18" t="s">
        <v>183</v>
      </c>
      <c r="C3" s="18" t="s">
        <v>2</v>
      </c>
      <c r="D3" s="18" t="s">
        <v>212</v>
      </c>
      <c r="E3" s="18" t="s">
        <v>213</v>
      </c>
      <c r="F3" s="18" t="s">
        <v>214</v>
      </c>
      <c r="G3" s="18" t="s">
        <v>215</v>
      </c>
      <c r="H3" s="18" t="s">
        <v>216</v>
      </c>
    </row>
    <row r="4" spans="1:8" ht="30" customHeight="1">
      <c r="A4" s="22" t="s">
        <v>217</v>
      </c>
      <c r="B4" s="22"/>
      <c r="C4" s="22"/>
      <c r="D4" s="22" t="s">
        <v>218</v>
      </c>
      <c r="E4" s="23">
        <v>1</v>
      </c>
      <c r="F4" s="23">
        <v>2</v>
      </c>
      <c r="G4" s="23">
        <v>3</v>
      </c>
      <c r="H4" s="23">
        <v>6</v>
      </c>
    </row>
    <row r="5" spans="1:8" ht="30" customHeight="1">
      <c r="A5" s="20" t="s">
        <v>198</v>
      </c>
      <c r="B5" s="20" t="s">
        <v>8</v>
      </c>
      <c r="C5" s="20" t="s">
        <v>199</v>
      </c>
      <c r="D5" s="20" t="s">
        <v>219</v>
      </c>
      <c r="E5" s="21">
        <f>ROUND(E$4*16.24+6,1)</f>
        <v>22.2</v>
      </c>
      <c r="F5" s="21">
        <f>ROUND(F$4*16.24+6,1)</f>
        <v>38.5</v>
      </c>
      <c r="G5" s="21">
        <f>ROUND(G$4*16.24+6,1)</f>
        <v>54.7</v>
      </c>
      <c r="H5" s="21">
        <f>ROUND(H$4*16.24+6,1)</f>
        <v>103.4</v>
      </c>
    </row>
    <row r="6" spans="1:8" ht="30" customHeight="1">
      <c r="A6" s="20" t="s">
        <v>201</v>
      </c>
      <c r="B6" s="20" t="s">
        <v>8</v>
      </c>
      <c r="C6" s="20" t="s">
        <v>202</v>
      </c>
      <c r="D6" s="20" t="s">
        <v>220</v>
      </c>
      <c r="E6" s="21">
        <f>E$4*0.5</f>
        <v>0.5</v>
      </c>
      <c r="F6" s="21">
        <f>F$4*0.5</f>
        <v>1</v>
      </c>
      <c r="G6" s="21">
        <f>G$4*0.5</f>
        <v>1.5</v>
      </c>
      <c r="H6" s="21">
        <f>H$4*0.5</f>
        <v>3</v>
      </c>
    </row>
    <row r="7" spans="1:8" ht="30" customHeight="1">
      <c r="A7" s="20" t="s">
        <v>204</v>
      </c>
      <c r="B7" s="20" t="s">
        <v>8</v>
      </c>
      <c r="C7" s="20" t="s">
        <v>192</v>
      </c>
      <c r="D7" s="20" t="s">
        <v>221</v>
      </c>
      <c r="E7" s="21">
        <f>E$4*28+6</f>
        <v>34</v>
      </c>
      <c r="F7" s="21">
        <f>F$4*28+6</f>
        <v>62</v>
      </c>
      <c r="G7" s="21">
        <f>G$4*28+6</f>
        <v>90</v>
      </c>
      <c r="H7" s="21">
        <f>H$4*28+6</f>
        <v>174</v>
      </c>
    </row>
    <row r="8" spans="1:8" ht="30" customHeight="1">
      <c r="A8" s="20" t="s">
        <v>206</v>
      </c>
      <c r="B8" s="20" t="s">
        <v>8</v>
      </c>
      <c r="C8" s="20" t="s">
        <v>186</v>
      </c>
      <c r="D8" s="20" t="s">
        <v>222</v>
      </c>
      <c r="E8" s="21">
        <f>E$4*56+6</f>
        <v>62</v>
      </c>
      <c r="F8" s="21">
        <f>F$4*56+6</f>
        <v>118</v>
      </c>
      <c r="G8" s="21">
        <f>G$4*56+6</f>
        <v>174</v>
      </c>
      <c r="H8" s="21">
        <f>H$4*56+6</f>
        <v>342</v>
      </c>
    </row>
    <row r="9" spans="1:8" ht="30" customHeight="1">
      <c r="A9" s="20" t="s">
        <v>208</v>
      </c>
      <c r="B9" s="20" t="s">
        <v>8</v>
      </c>
      <c r="C9" s="20" t="s">
        <v>189</v>
      </c>
      <c r="D9" s="20" t="s">
        <v>223</v>
      </c>
      <c r="E9" s="21">
        <f>E$4*4</f>
        <v>4</v>
      </c>
      <c r="F9" s="21">
        <f>F$4*4</f>
        <v>8</v>
      </c>
      <c r="G9" s="21">
        <f>G$4*4</f>
        <v>12</v>
      </c>
      <c r="H9" s="21">
        <f>H$4*4</f>
        <v>24</v>
      </c>
    </row>
    <row r="10" spans="1:8" ht="30" customHeight="1">
      <c r="A10" s="20" t="s">
        <v>194</v>
      </c>
      <c r="B10" s="20" t="s">
        <v>8</v>
      </c>
      <c r="C10" s="20" t="s">
        <v>195</v>
      </c>
      <c r="D10" s="20" t="s">
        <v>221</v>
      </c>
      <c r="E10" s="21">
        <f>E$4*28+6</f>
        <v>34</v>
      </c>
      <c r="F10" s="21">
        <f>F$4*28+6</f>
        <v>62</v>
      </c>
      <c r="G10" s="21">
        <f>G$4*28+6</f>
        <v>90</v>
      </c>
      <c r="H10" s="21">
        <f>H$4*28+6</f>
        <v>174</v>
      </c>
    </row>
  </sheetData>
  <mergeCells count="2">
    <mergeCell ref="A1:H1"/>
    <mergeCell ref="A2:H2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试剂分装</vt:lpstr>
      <vt:lpstr>代码消耗</vt:lpstr>
      <vt:lpstr>计算明细</vt:lpstr>
      <vt:lpstr>说明</vt:lpstr>
      <vt:lpstr>均一化设计</vt:lpstr>
      <vt:lpstr>E25_DNB试剂</vt:lpstr>
      <vt:lpstr>G99_DNB试剂</vt:lpstr>
      <vt:lpstr>200_2000_DNB试剂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HE3806</cp:lastModifiedBy>
  <dcterms:modified xsi:type="dcterms:W3CDTF">2026-08-08T08:52:41Z</dcterms:modified>
</cp:coreProperties>
</file>
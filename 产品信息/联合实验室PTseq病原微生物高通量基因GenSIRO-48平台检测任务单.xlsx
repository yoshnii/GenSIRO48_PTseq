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19200" windowHeight="7590" tabRatio="764" firstSheet="1" activeTab="0" autoFilterDateGrouping="1"/>
  </bookViews>
  <sheets>
    <sheet xmlns:r="http://schemas.openxmlformats.org/officeDocument/2006/relationships" name="样本前处理" sheetId="1" state="visible" r:id="rId1"/>
    <sheet xmlns:r="http://schemas.openxmlformats.org/officeDocument/2006/relationships" name="GenSIRO-48提取建库" sheetId="2" state="visible" r:id="rId2"/>
    <sheet xmlns:r="http://schemas.openxmlformats.org/officeDocument/2006/relationships" name="G99测序" sheetId="3" state="visible" r:id="rId3"/>
    <sheet xmlns:r="http://schemas.openxmlformats.org/officeDocument/2006/relationships" name="200测序" sheetId="4" state="visible" r:id="rId4"/>
    <sheet xmlns:r="http://schemas.openxmlformats.org/officeDocument/2006/relationships" name="2000测序" sheetId="5" state="visible" r:id="rId5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0"/>
  <fonts count="64">
    <font>
      <name val="等线"/>
      <charset val="134"/>
      <color theme="1"/>
      <sz val="11"/>
      <scheme val="minor"/>
    </font>
    <font>
      <name val="Times New Roman"/>
      <charset val="134"/>
      <sz val="12"/>
    </font>
    <font>
      <name val="Times New Roman"/>
      <charset val="134"/>
      <color theme="1"/>
      <sz val="12"/>
    </font>
    <font>
      <name val="Times New Roman"/>
      <charset val="134"/>
      <color theme="1"/>
      <sz val="9"/>
    </font>
    <font>
      <name val="Times New Roman"/>
      <charset val="134"/>
      <b val="1"/>
      <color theme="1"/>
      <sz val="16"/>
    </font>
    <font>
      <name val="宋体"/>
      <charset val="134"/>
      <b val="1"/>
      <color rgb="FFFF0000"/>
      <sz val="11"/>
    </font>
    <font>
      <name val="宋体"/>
      <charset val="134"/>
      <color theme="1"/>
      <sz val="12"/>
    </font>
    <font>
      <name val="Times New Roman"/>
      <charset val="134"/>
      <color theme="1"/>
      <sz val="10"/>
    </font>
    <font>
      <name val="Times New Roman"/>
      <charset val="134"/>
      <color theme="1"/>
      <sz val="11"/>
    </font>
    <font>
      <name val="Times New Roman"/>
      <charset val="134"/>
      <b val="1"/>
      <color theme="1"/>
      <sz val="11"/>
    </font>
    <font>
      <name val="Times New Roman"/>
      <charset val="134"/>
      <b val="1"/>
      <color rgb="FF000000"/>
      <sz val="16"/>
    </font>
    <font>
      <name val="Times New Roman"/>
      <charset val="134"/>
      <b val="1"/>
      <sz val="11"/>
    </font>
    <font>
      <name val="Times New Roman"/>
      <charset val="134"/>
      <sz val="11"/>
    </font>
    <font>
      <name val="Times New Roman"/>
      <charset val="134"/>
      <color indexed="8"/>
      <sz val="11"/>
    </font>
    <font>
      <name val="Times New Roman"/>
      <charset val="134"/>
      <b val="1"/>
      <color indexed="8"/>
      <sz val="11"/>
    </font>
    <font>
      <name val="Times New Roman"/>
      <charset val="134"/>
      <b val="1"/>
      <color rgb="FF000000"/>
      <sz val="11"/>
    </font>
    <font>
      <name val="Times New Roman"/>
      <charset val="134"/>
      <color rgb="FF000000"/>
      <sz val="11"/>
    </font>
    <font>
      <name val="Times New Roman"/>
      <charset val="134"/>
      <b val="1"/>
      <sz val="8"/>
    </font>
    <font>
      <name val="宋体"/>
      <charset val="134"/>
      <color rgb="FF000000"/>
      <sz val="11"/>
    </font>
    <font>
      <name val="宋体"/>
      <charset val="134"/>
      <color theme="1"/>
      <sz val="11"/>
    </font>
    <font>
      <name val="Times New Roman"/>
      <charset val="134"/>
      <b val="1"/>
      <color rgb="FFFF0000"/>
      <sz val="11"/>
    </font>
    <font>
      <name val="Times New Roman"/>
      <charset val="134"/>
      <color theme="0" tint="-0.349986266670736"/>
      <sz val="11"/>
    </font>
    <font>
      <name val="Times New Roman"/>
      <charset val="134"/>
      <b val="1"/>
      <sz val="12"/>
    </font>
    <font>
      <name val="宋体"/>
      <charset val="134"/>
      <sz val="12"/>
    </font>
    <font>
      <name val="宋体"/>
      <charset val="134"/>
      <b val="1"/>
      <sz val="12"/>
    </font>
    <font>
      <name val="宋体"/>
      <charset val="134"/>
      <b val="1"/>
      <color theme="1"/>
      <sz val="12"/>
    </font>
    <font>
      <name val="Times New Roman"/>
      <charset val="134"/>
      <b val="1"/>
      <color theme="1"/>
      <sz val="12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宋体"/>
      <charset val="134"/>
      <sz val="11"/>
    </font>
    <font>
      <name val="宋体"/>
      <charset val="134"/>
      <b val="1"/>
      <sz val="11"/>
    </font>
    <font>
      <name val="宋体"/>
      <charset val="134"/>
      <b val="1"/>
      <color theme="1"/>
      <sz val="11"/>
    </font>
    <font>
      <name val="SimSun"/>
      <charset val="134"/>
      <color rgb="FF000000"/>
      <sz val="11"/>
    </font>
    <font>
      <name val="宋体"/>
      <charset val="134"/>
      <color indexed="8"/>
      <sz val="11"/>
    </font>
    <font>
      <name val="Segoe UI Symbol"/>
      <charset val="134"/>
      <color theme="1"/>
      <sz val="11"/>
    </font>
    <font>
      <name val="宋体"/>
      <charset val="134"/>
      <b val="1"/>
      <color indexed="8"/>
      <sz val="11"/>
    </font>
    <font>
      <name val="等线"/>
      <charset val="134"/>
      <color rgb="FF000000"/>
      <sz val="11"/>
    </font>
    <font>
      <name val="Calibri"/>
      <charset val="161"/>
      <color rgb="FF000000"/>
      <sz val="11"/>
    </font>
    <font>
      <name val="等线"/>
      <charset val="134"/>
      <color theme="1"/>
      <sz val="11"/>
    </font>
    <font>
      <name val="宋体"/>
      <charset val="134"/>
      <b val="1"/>
      <color rgb="FF000000"/>
      <sz val="11"/>
    </font>
    <font>
      <name val="Segoe UI Symbol"/>
      <charset val="134"/>
      <sz val="12"/>
    </font>
    <font>
      <name val="宋体"/>
      <charset val="134"/>
      <b val="1"/>
      <color theme="1"/>
      <sz val="16"/>
    </font>
    <font>
      <name val="等线"/>
      <charset val="134"/>
      <color theme="0" tint="-0.349986266670736"/>
      <sz val="11"/>
    </font>
    <font>
      <name val="Segoe UI Symbol"/>
      <charset val="134"/>
      <color theme="1"/>
      <sz val="12"/>
    </font>
    <font>
      <name val="宋体"/>
      <charset val="134"/>
      <color theme="0" tint="-0.349986266670736"/>
      <sz val="11"/>
    </font>
    <font>
      <name val="宋体"/>
      <charset val="134"/>
      <b val="1"/>
      <color rgb="FF000000"/>
      <sz val="16"/>
    </font>
    <font>
      <name val="Calibri"/>
      <charset val="161"/>
      <b val="1"/>
      <color theme="1"/>
      <sz val="11"/>
    </font>
  </fonts>
  <fills count="36">
    <fill>
      <patternFill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theme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</borders>
  <cellStyleXfs count="53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7" fillId="0" borderId="0" applyAlignment="1">
      <alignment vertical="center"/>
    </xf>
    <xf numFmtId="0" fontId="28" fillId="0" borderId="0" applyAlignment="1">
      <alignment vertical="center"/>
    </xf>
    <xf numFmtId="0" fontId="0" fillId="5" borderId="52" applyAlignment="1">
      <alignment vertical="center"/>
    </xf>
    <xf numFmtId="0" fontId="29" fillId="0" borderId="0" applyAlignment="1">
      <alignment vertical="center"/>
    </xf>
    <xf numFmtId="0" fontId="30" fillId="0" borderId="0" applyAlignment="1">
      <alignment vertical="center"/>
    </xf>
    <xf numFmtId="0" fontId="31" fillId="0" borderId="0" applyAlignment="1">
      <alignment vertical="center"/>
    </xf>
    <xf numFmtId="0" fontId="32" fillId="0" borderId="53" applyAlignment="1">
      <alignment vertical="center"/>
    </xf>
    <xf numFmtId="0" fontId="33" fillId="0" borderId="53" applyAlignment="1">
      <alignment vertical="center"/>
    </xf>
    <xf numFmtId="0" fontId="34" fillId="0" borderId="54" applyAlignment="1">
      <alignment vertical="center"/>
    </xf>
    <xf numFmtId="0" fontId="34" fillId="0" borderId="0" applyAlignment="1">
      <alignment vertical="center"/>
    </xf>
    <xf numFmtId="0" fontId="35" fillId="6" borderId="55" applyAlignment="1">
      <alignment vertical="center"/>
    </xf>
    <xf numFmtId="0" fontId="36" fillId="7" borderId="56" applyAlignment="1">
      <alignment vertical="center"/>
    </xf>
    <xf numFmtId="0" fontId="37" fillId="7" borderId="55" applyAlignment="1">
      <alignment vertical="center"/>
    </xf>
    <xf numFmtId="0" fontId="38" fillId="8" borderId="57" applyAlignment="1">
      <alignment vertical="center"/>
    </xf>
    <xf numFmtId="0" fontId="39" fillId="0" borderId="58" applyAlignment="1">
      <alignment vertical="center"/>
    </xf>
    <xf numFmtId="0" fontId="40" fillId="0" borderId="59" applyAlignment="1">
      <alignment vertical="center"/>
    </xf>
    <xf numFmtId="0" fontId="41" fillId="9" borderId="0" applyAlignment="1">
      <alignment vertical="center"/>
    </xf>
    <xf numFmtId="0" fontId="42" fillId="10" borderId="0" applyAlignment="1">
      <alignment vertical="center"/>
    </xf>
    <xf numFmtId="0" fontId="43" fillId="11" borderId="0" applyAlignment="1">
      <alignment vertical="center"/>
    </xf>
    <xf numFmtId="0" fontId="44" fillId="12" borderId="0" applyAlignment="1">
      <alignment vertical="center"/>
    </xf>
    <xf numFmtId="0" fontId="45" fillId="13" borderId="0" applyAlignment="1">
      <alignment vertical="center"/>
    </xf>
    <xf numFmtId="0" fontId="45" fillId="14" borderId="0" applyAlignment="1">
      <alignment vertical="center"/>
    </xf>
    <xf numFmtId="0" fontId="44" fillId="15" borderId="0" applyAlignment="1">
      <alignment vertical="center"/>
    </xf>
    <xf numFmtId="0" fontId="44" fillId="16" borderId="0" applyAlignment="1">
      <alignment vertical="center"/>
    </xf>
    <xf numFmtId="0" fontId="45" fillId="17" borderId="0" applyAlignment="1">
      <alignment vertical="center"/>
    </xf>
    <xf numFmtId="0" fontId="45" fillId="18" borderId="0" applyAlignment="1">
      <alignment vertical="center"/>
    </xf>
    <xf numFmtId="0" fontId="44" fillId="19" borderId="0" applyAlignment="1">
      <alignment vertical="center"/>
    </xf>
    <xf numFmtId="0" fontId="44" fillId="20" borderId="0" applyAlignment="1">
      <alignment vertical="center"/>
    </xf>
    <xf numFmtId="0" fontId="45" fillId="21" borderId="0" applyAlignment="1">
      <alignment vertical="center"/>
    </xf>
    <xf numFmtId="0" fontId="45" fillId="22" borderId="0" applyAlignment="1">
      <alignment vertical="center"/>
    </xf>
    <xf numFmtId="0" fontId="44" fillId="23" borderId="0" applyAlignment="1">
      <alignment vertical="center"/>
    </xf>
    <xf numFmtId="0" fontId="44" fillId="24" borderId="0" applyAlignment="1">
      <alignment vertical="center"/>
    </xf>
    <xf numFmtId="0" fontId="45" fillId="25" borderId="0" applyAlignment="1">
      <alignment vertical="center"/>
    </xf>
    <xf numFmtId="0" fontId="45" fillId="26" borderId="0" applyAlignment="1">
      <alignment vertical="center"/>
    </xf>
    <xf numFmtId="0" fontId="44" fillId="27" borderId="0" applyAlignment="1">
      <alignment vertical="center"/>
    </xf>
    <xf numFmtId="0" fontId="44" fillId="28" borderId="0" applyAlignment="1">
      <alignment vertical="center"/>
    </xf>
    <xf numFmtId="0" fontId="45" fillId="29" borderId="0" applyAlignment="1">
      <alignment vertical="center"/>
    </xf>
    <xf numFmtId="0" fontId="45" fillId="30" borderId="0" applyAlignment="1">
      <alignment vertical="center"/>
    </xf>
    <xf numFmtId="0" fontId="44" fillId="31" borderId="0" applyAlignment="1">
      <alignment vertical="center"/>
    </xf>
    <xf numFmtId="0" fontId="44" fillId="32" borderId="0" applyAlignment="1">
      <alignment vertical="center"/>
    </xf>
    <xf numFmtId="0" fontId="45" fillId="33" borderId="0" applyAlignment="1">
      <alignment vertical="center"/>
    </xf>
    <xf numFmtId="0" fontId="45" fillId="34" borderId="0" applyAlignment="1">
      <alignment vertical="center"/>
    </xf>
    <xf numFmtId="0" fontId="44" fillId="35" borderId="0" applyAlignment="1">
      <alignment vertical="center"/>
    </xf>
    <xf numFmtId="0" fontId="0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</cellStyleXfs>
  <cellXfs count="29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 vertical="center" wrapText="1"/>
    </xf>
    <xf numFmtId="0" fontId="3" fillId="0" borderId="3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5" fillId="0" borderId="0" applyAlignment="1" pivotButton="0" quotePrefix="0" xfId="49">
      <alignment vertical="center"/>
    </xf>
    <xf numFmtId="0" fontId="2" fillId="2" borderId="0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2" fillId="0" borderId="5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 wrapText="1"/>
    </xf>
    <xf numFmtId="0" fontId="2" fillId="0" borderId="10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0" borderId="11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0" fontId="2" fillId="0" borderId="13" applyAlignment="1" pivotButton="0" quotePrefix="0" xfId="0">
      <alignment horizontal="center" vertical="center" wrapText="1"/>
    </xf>
    <xf numFmtId="0" fontId="2" fillId="0" borderId="14" applyAlignment="1" pivotButton="0" quotePrefix="0" xfId="0">
      <alignment horizontal="center" vertical="center"/>
    </xf>
    <xf numFmtId="0" fontId="2" fillId="0" borderId="15" applyAlignment="1" pivotButton="0" quotePrefix="0" xfId="0">
      <alignment horizontal="center" vertical="center"/>
    </xf>
    <xf numFmtId="0" fontId="2" fillId="0" borderId="16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1" fillId="0" borderId="5" applyAlignment="1" applyProtection="1" pivotButton="0" quotePrefix="0" xfId="0">
      <alignment vertical="center"/>
      <protection locked="0" hidden="0"/>
    </xf>
    <xf numFmtId="0" fontId="1" fillId="0" borderId="10" applyAlignment="1" applyProtection="1" pivotButton="0" quotePrefix="0" xfId="0">
      <alignment vertical="center"/>
      <protection locked="0" hidden="0"/>
    </xf>
    <xf numFmtId="0" fontId="1" fillId="0" borderId="11" applyAlignment="1" applyProtection="1" pivotButton="0" quotePrefix="0" xfId="0">
      <alignment vertical="center"/>
      <protection locked="0" hidden="0"/>
    </xf>
    <xf numFmtId="0" fontId="2" fillId="0" borderId="11" applyAlignment="1" pivotButton="0" quotePrefix="0" xfId="0">
      <alignment vertical="center"/>
    </xf>
    <xf numFmtId="0" fontId="1" fillId="0" borderId="7" applyAlignment="1" applyProtection="1" pivotButton="0" quotePrefix="0" xfId="0">
      <alignment horizontal="left" vertical="center"/>
      <protection locked="0" hidden="0"/>
    </xf>
    <xf numFmtId="0" fontId="1" fillId="0" borderId="8" applyAlignment="1" applyProtection="1" pivotButton="0" quotePrefix="0" xfId="0">
      <alignment horizontal="left" vertical="center"/>
      <protection locked="0" hidden="0"/>
    </xf>
    <xf numFmtId="0" fontId="1" fillId="0" borderId="9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49">
      <alignment vertical="center"/>
    </xf>
    <xf numFmtId="0" fontId="8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49">
      <alignment vertical="center"/>
    </xf>
    <xf numFmtId="0" fontId="8" fillId="0" borderId="0" pivotButton="0" quotePrefix="0" xfId="0"/>
    <xf numFmtId="0" fontId="9" fillId="0" borderId="18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wrapText="1"/>
    </xf>
    <xf numFmtId="0" fontId="10" fillId="0" borderId="19" applyAlignment="1" applyProtection="1" pivotButton="0" quotePrefix="0" xfId="0">
      <alignment horizontal="center" vertical="center"/>
      <protection locked="0" hidden="0"/>
    </xf>
    <xf numFmtId="0" fontId="10" fillId="0" borderId="20" applyAlignment="1" applyProtection="1" pivotButton="0" quotePrefix="0" xfId="0">
      <alignment horizontal="center" vertical="center"/>
      <protection locked="0" hidden="0"/>
    </xf>
    <xf numFmtId="0" fontId="10" fillId="0" borderId="21" applyAlignment="1" applyProtection="1" pivotButton="0" quotePrefix="0" xfId="0">
      <alignment horizontal="center" vertical="center"/>
      <protection locked="0" hidden="0"/>
    </xf>
    <xf numFmtId="0" fontId="11" fillId="0" borderId="4" applyAlignment="1" pivotButton="0" quotePrefix="0" xfId="49">
      <alignment vertical="center"/>
    </xf>
    <xf numFmtId="0" fontId="12" fillId="0" borderId="5" applyAlignment="1" pivotButton="0" quotePrefix="0" xfId="49">
      <alignment horizontal="center" vertical="center"/>
    </xf>
    <xf numFmtId="0" fontId="11" fillId="0" borderId="5" applyAlignment="1" pivotButton="0" quotePrefix="0" xfId="49">
      <alignment vertical="center"/>
    </xf>
    <xf numFmtId="0" fontId="12" fillId="0" borderId="6" applyAlignment="1" pivotButton="0" quotePrefix="0" xfId="49">
      <alignment horizontal="center" vertical="center"/>
    </xf>
    <xf numFmtId="0" fontId="11" fillId="3" borderId="7" applyAlignment="1" pivotButton="0" quotePrefix="0" xfId="49">
      <alignment vertical="center"/>
    </xf>
    <xf numFmtId="0" fontId="12" fillId="3" borderId="8" applyAlignment="1" pivotButton="0" quotePrefix="0" xfId="49">
      <alignment horizontal="center" vertical="center"/>
    </xf>
    <xf numFmtId="0" fontId="11" fillId="3" borderId="8" applyAlignment="1" pivotButton="0" quotePrefix="0" xfId="49">
      <alignment vertical="center"/>
    </xf>
    <xf numFmtId="0" fontId="12" fillId="0" borderId="9" applyAlignment="1" pivotButton="0" quotePrefix="0" xfId="49">
      <alignment horizontal="center" vertical="center"/>
    </xf>
    <xf numFmtId="0" fontId="11" fillId="3" borderId="0" applyAlignment="1" pivotButton="0" quotePrefix="0" xfId="49">
      <alignment vertical="center"/>
    </xf>
    <xf numFmtId="0" fontId="12" fillId="3" borderId="0" applyAlignment="1" pivotButton="0" quotePrefix="0" xfId="49">
      <alignment horizontal="center" vertical="center"/>
    </xf>
    <xf numFmtId="0" fontId="12" fillId="0" borderId="0" applyAlignment="1" pivotButton="0" quotePrefix="0" xfId="49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13" fillId="0" borderId="0" applyAlignment="1" applyProtection="1" pivotButton="0" quotePrefix="0" xfId="49">
      <alignment horizontal="center" vertical="center" wrapText="1"/>
      <protection locked="0" hidden="0"/>
    </xf>
    <xf numFmtId="0" fontId="9" fillId="0" borderId="22" applyAlignment="1" pivotButton="0" quotePrefix="0" xfId="0">
      <alignment horizontal="center" vertical="center"/>
    </xf>
    <xf numFmtId="0" fontId="11" fillId="0" borderId="23" applyAlignment="1" pivotButton="0" quotePrefix="0" xfId="0">
      <alignment horizontal="center" vertical="center" wrapText="1" shrinkToFit="1"/>
    </xf>
    <xf numFmtId="0" fontId="14" fillId="0" borderId="5" applyAlignment="1" pivotButton="0" quotePrefix="0" xfId="0">
      <alignment horizontal="center" vertical="center" wrapText="1"/>
    </xf>
    <xf numFmtId="0" fontId="13" fillId="0" borderId="5" applyAlignment="1" applyProtection="1" pivotButton="0" quotePrefix="0" xfId="49">
      <alignment horizontal="center" vertical="center" wrapText="1"/>
      <protection locked="0" hidden="0"/>
    </xf>
    <xf numFmtId="0" fontId="13" fillId="0" borderId="6" applyAlignment="1" applyProtection="1" pivotButton="0" quotePrefix="0" xfId="49">
      <alignment horizontal="center" vertical="center" wrapText="1"/>
      <protection locked="0" hidden="0"/>
    </xf>
    <xf numFmtId="0" fontId="9" fillId="0" borderId="24" applyAlignment="1" pivotButton="0" quotePrefix="0" xfId="0">
      <alignment horizontal="center" vertical="center"/>
    </xf>
    <xf numFmtId="0" fontId="11" fillId="0" borderId="25" applyAlignment="1" pivotButton="0" quotePrefix="0" xfId="0">
      <alignment horizontal="center" vertical="center" wrapText="1" shrinkToFit="1"/>
    </xf>
    <xf numFmtId="0" fontId="8" fillId="0" borderId="8" applyAlignment="1" pivotButton="0" quotePrefix="0" xfId="0">
      <alignment horizontal="center" vertical="center"/>
    </xf>
    <xf numFmtId="0" fontId="13" fillId="0" borderId="8" applyAlignment="1" applyProtection="1" pivotButton="0" quotePrefix="0" xfId="49">
      <alignment horizontal="center" vertical="center" wrapText="1"/>
      <protection locked="0" hidden="0"/>
    </xf>
    <xf numFmtId="0" fontId="13" fillId="0" borderId="9" applyAlignment="1" applyProtection="1" pivotButton="0" quotePrefix="0" xfId="49">
      <alignment horizontal="center" vertical="center" wrapText="1"/>
      <protection locked="0" hidden="0"/>
    </xf>
    <xf numFmtId="0" fontId="11" fillId="0" borderId="0" applyAlignment="1" pivotButton="0" quotePrefix="0" xfId="0">
      <alignment horizontal="center" vertical="center" wrapText="1" shrinkToFit="1"/>
    </xf>
    <xf numFmtId="0" fontId="15" fillId="0" borderId="22" applyAlignment="1" applyProtection="1" pivotButton="0" quotePrefix="0" xfId="0">
      <alignment horizontal="center" vertical="center"/>
      <protection locked="0" hidden="0"/>
    </xf>
    <xf numFmtId="0" fontId="14" fillId="0" borderId="23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center"/>
    </xf>
    <xf numFmtId="0" fontId="15" fillId="0" borderId="6" applyAlignment="1" pivotButton="0" quotePrefix="0" xfId="0">
      <alignment horizontal="center" vertical="center" wrapText="1"/>
    </xf>
    <xf numFmtId="0" fontId="15" fillId="0" borderId="26" applyAlignment="1" applyProtection="1" pivotButton="0" quotePrefix="0" xfId="0">
      <alignment horizontal="center" vertical="center"/>
      <protection locked="0" hidden="0"/>
    </xf>
    <xf numFmtId="0" fontId="13" fillId="0" borderId="27" applyAlignment="1" pivotButton="0" quotePrefix="0" xfId="0">
      <alignment horizontal="center" vertical="center" wrapText="1"/>
    </xf>
    <xf numFmtId="0" fontId="13" fillId="0" borderId="11" applyAlignment="1" pivotButton="0" quotePrefix="0" xfId="0">
      <alignment horizontal="center" vertical="center" wrapText="1"/>
    </xf>
    <xf numFmtId="0" fontId="13" fillId="0" borderId="11" applyAlignment="1" applyProtection="1" pivotButton="0" quotePrefix="0" xfId="0">
      <alignment horizontal="center" vertical="center"/>
      <protection locked="0" hidden="0"/>
    </xf>
    <xf numFmtId="0" fontId="13" fillId="0" borderId="12" applyAlignment="1" applyProtection="1" pivotButton="0" quotePrefix="0" xfId="0">
      <alignment vertical="center" wrapText="1"/>
      <protection locked="0" hidden="0"/>
    </xf>
    <xf numFmtId="0" fontId="15" fillId="0" borderId="24" applyAlignment="1" applyProtection="1" pivotButton="0" quotePrefix="0" xfId="0">
      <alignment horizontal="center" vertical="center"/>
      <protection locked="0" hidden="0"/>
    </xf>
    <xf numFmtId="0" fontId="16" fillId="0" borderId="25" applyAlignment="1" pivotButton="0" quotePrefix="0" xfId="0">
      <alignment horizontal="center" vertical="center" wrapText="1"/>
    </xf>
    <xf numFmtId="0" fontId="13" fillId="0" borderId="8" applyAlignment="1" pivotButton="0" quotePrefix="0" xfId="0">
      <alignment horizontal="center" vertical="center" wrapText="1"/>
    </xf>
    <xf numFmtId="0" fontId="13" fillId="0" borderId="9" applyAlignment="1" pivotButton="0" quotePrefix="0" xfId="0">
      <alignment horizontal="center" vertical="center" wrapText="1"/>
    </xf>
    <xf numFmtId="0" fontId="15" fillId="0" borderId="0" applyAlignment="1" applyProtection="1" pivotButton="0" quotePrefix="0" xfId="0">
      <alignment horizontal="center" vertical="center"/>
      <protection locked="0" hidden="0"/>
    </xf>
    <xf numFmtId="0" fontId="14" fillId="0" borderId="22" applyAlignment="1" applyProtection="1" pivotButton="0" quotePrefix="0" xfId="0">
      <alignment horizontal="center" vertical="center" wrapText="1"/>
      <protection locked="0" hidden="0"/>
    </xf>
    <xf numFmtId="0" fontId="12" fillId="0" borderId="23" applyAlignment="1" applyProtection="1" pivotButton="0" quotePrefix="0" xfId="0">
      <alignment horizontal="center" vertical="center" wrapText="1"/>
      <protection locked="0" hidden="0"/>
    </xf>
    <xf numFmtId="0" fontId="12" fillId="0" borderId="5" applyAlignment="1" applyProtection="1" pivotButton="0" quotePrefix="0" xfId="0">
      <alignment horizontal="center" vertical="center" wrapText="1"/>
      <protection locked="0" hidden="0"/>
    </xf>
    <xf numFmtId="0" fontId="12" fillId="0" borderId="6" applyAlignment="1" applyProtection="1" pivotButton="0" quotePrefix="0" xfId="0">
      <alignment horizontal="center" vertical="center" wrapText="1"/>
      <protection locked="0" hidden="0"/>
    </xf>
    <xf numFmtId="0" fontId="14" fillId="0" borderId="26" applyAlignment="1" applyProtection="1" pivotButton="0" quotePrefix="0" xfId="0">
      <alignment horizontal="center" vertical="center" wrapText="1"/>
      <protection locked="0" hidden="0"/>
    </xf>
    <xf numFmtId="0" fontId="12" fillId="0" borderId="27" applyAlignment="1" applyProtection="1" pivotButton="0" quotePrefix="0" xfId="0">
      <alignment horizontal="center" vertical="center" wrapText="1"/>
      <protection locked="0" hidden="0"/>
    </xf>
    <xf numFmtId="0" fontId="12" fillId="0" borderId="11" applyAlignment="1" applyProtection="1" pivotButton="0" quotePrefix="0" xfId="0">
      <alignment horizontal="center" vertical="center" wrapText="1"/>
      <protection locked="0" hidden="0"/>
    </xf>
    <xf numFmtId="0" fontId="12" fillId="0" borderId="12" applyAlignment="1" applyProtection="1" pivotButton="0" quotePrefix="0" xfId="0">
      <alignment horizontal="center" vertical="center" wrapText="1"/>
      <protection locked="0" hidden="0"/>
    </xf>
    <xf numFmtId="0" fontId="14" fillId="0" borderId="0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center" vertical="center" wrapText="1"/>
      <protection locked="0" hidden="0"/>
    </xf>
    <xf numFmtId="0" fontId="9" fillId="0" borderId="22" applyAlignment="1" applyProtection="1" pivotButton="0" quotePrefix="0" xfId="0">
      <alignment horizontal="center" vertical="center" wrapText="1"/>
      <protection locked="0" hidden="0"/>
    </xf>
    <xf numFmtId="0" fontId="9" fillId="0" borderId="23" applyAlignment="1" pivotButton="0" quotePrefix="0" xfId="0">
      <alignment horizontal="center" vertical="center"/>
    </xf>
    <xf numFmtId="0" fontId="9" fillId="0" borderId="6" applyAlignment="1" pivotButton="0" quotePrefix="0" xfId="0">
      <alignment horizontal="center" vertical="center"/>
    </xf>
    <xf numFmtId="0" fontId="9" fillId="0" borderId="26" applyAlignment="1" applyProtection="1" pivotButton="0" quotePrefix="0" xfId="0">
      <alignment horizontal="center" vertical="center" wrapText="1"/>
      <protection locked="0" hidden="0"/>
    </xf>
    <xf numFmtId="0" fontId="13" fillId="0" borderId="27" applyAlignment="1" applyProtection="1" pivotButton="0" quotePrefix="0" xfId="0">
      <alignment horizontal="center" vertical="center"/>
      <protection locked="0" hidden="0"/>
    </xf>
    <xf numFmtId="0" fontId="13" fillId="0" borderId="11" applyAlignment="1" applyProtection="1" pivotButton="0" quotePrefix="0" xfId="0">
      <alignment vertical="center"/>
      <protection locked="0" hidden="0"/>
    </xf>
    <xf numFmtId="0" fontId="13" fillId="0" borderId="12" applyAlignment="1" applyProtection="1" pivotButton="0" quotePrefix="0" xfId="0">
      <alignment vertical="center"/>
      <protection locked="0" hidden="0"/>
    </xf>
    <xf numFmtId="0" fontId="8" fillId="0" borderId="11" applyAlignment="1" applyProtection="1" pivotButton="0" quotePrefix="0" xfId="0">
      <alignment horizontal="center" vertical="center"/>
      <protection locked="0" hidden="0"/>
    </xf>
    <xf numFmtId="0" fontId="8" fillId="0" borderId="12" applyAlignment="1" applyProtection="1" pivotButton="0" quotePrefix="0" xfId="0">
      <alignment horizontal="center" vertical="center"/>
      <protection locked="0" hidden="0"/>
    </xf>
    <xf numFmtId="0" fontId="9" fillId="0" borderId="24" applyAlignment="1" applyProtection="1" pivotButton="0" quotePrefix="0" xfId="0">
      <alignment horizontal="center" vertical="center" wrapText="1"/>
      <protection locked="0" hidden="0"/>
    </xf>
    <xf numFmtId="0" fontId="14" fillId="0" borderId="25" applyAlignment="1" applyProtection="1" pivotButton="0" quotePrefix="0" xfId="0">
      <alignment horizontal="center" vertical="center" wrapText="1"/>
      <protection locked="0" hidden="0"/>
    </xf>
    <xf numFmtId="0" fontId="14" fillId="0" borderId="8" applyAlignment="1" applyProtection="1" pivotButton="0" quotePrefix="0" xfId="0">
      <alignment horizontal="center" vertical="center" wrapText="1"/>
      <protection locked="0" hidden="0"/>
    </xf>
    <xf numFmtId="0" fontId="14" fillId="0" borderId="9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horizontal="center" vertical="center" wrapText="1"/>
      <protection locked="0" hidden="0"/>
    </xf>
    <xf numFmtId="0" fontId="11" fillId="0" borderId="5" applyAlignment="1" applyProtection="1" pivotButton="0" quotePrefix="0" xfId="0">
      <alignment horizontal="center" vertical="center"/>
      <protection locked="0" hidden="0"/>
    </xf>
    <xf numFmtId="0" fontId="8" fillId="0" borderId="27" applyAlignment="1" pivotButton="0" quotePrefix="0" xfId="0">
      <alignment vertical="center"/>
    </xf>
    <xf numFmtId="0" fontId="8" fillId="0" borderId="11" applyAlignment="1" pivotButton="0" quotePrefix="0" xfId="0">
      <alignment horizontal="center" vertical="center"/>
    </xf>
    <xf numFmtId="0" fontId="8" fillId="0" borderId="11" pivotButton="0" quotePrefix="0" xfId="0"/>
    <xf numFmtId="0" fontId="12" fillId="0" borderId="12" applyAlignment="1" applyProtection="1" pivotButton="0" quotePrefix="0" xfId="0">
      <alignment horizontal="center" vertical="center"/>
      <protection locked="0" hidden="0"/>
    </xf>
    <xf numFmtId="0" fontId="8" fillId="0" borderId="25" applyAlignment="1" pivotButton="0" quotePrefix="0" xfId="0">
      <alignment vertical="center"/>
    </xf>
    <xf numFmtId="0" fontId="8" fillId="0" borderId="8" pivotButton="0" quotePrefix="0" xfId="0"/>
    <xf numFmtId="0" fontId="12" fillId="0" borderId="9" applyAlignment="1" applyProtection="1" pivotButton="0" quotePrefix="0" xfId="0">
      <alignment horizontal="center" vertical="center"/>
      <protection locked="0" hidden="0"/>
    </xf>
    <xf numFmtId="0" fontId="12" fillId="0" borderId="0" applyAlignment="1" applyProtection="1" pivotButton="0" quotePrefix="0" xfId="0">
      <alignment horizontal="center" vertical="center"/>
      <protection locked="0" hidden="0"/>
    </xf>
    <xf numFmtId="0" fontId="9" fillId="0" borderId="28" applyAlignment="1" applyProtection="1" pivotButton="0" quotePrefix="0" xfId="0">
      <alignment horizontal="left" vertical="center"/>
      <protection locked="0" hidden="0"/>
    </xf>
    <xf numFmtId="0" fontId="9" fillId="0" borderId="29" applyAlignment="1" applyProtection="1" pivotButton="0" quotePrefix="0" xfId="0">
      <alignment horizontal="left" vertical="center"/>
      <protection locked="0" hidden="0"/>
    </xf>
    <xf numFmtId="0" fontId="9" fillId="0" borderId="29" applyAlignment="1" applyProtection="1" pivotButton="0" quotePrefix="0" xfId="0">
      <alignment horizontal="left" vertical="center" wrapText="1"/>
      <protection locked="0" hidden="0"/>
    </xf>
    <xf numFmtId="0" fontId="9" fillId="0" borderId="30" applyAlignment="1" applyProtection="1" pivotButton="0" quotePrefix="0" xfId="0">
      <alignment horizontal="left" vertical="center" wrapText="1"/>
      <protection locked="0" hidden="0"/>
    </xf>
    <xf numFmtId="0" fontId="8" fillId="0" borderId="11" applyAlignment="1" pivotButton="0" quotePrefix="0" xfId="0">
      <alignment horizontal="center"/>
    </xf>
    <xf numFmtId="0" fontId="17" fillId="0" borderId="11" applyAlignment="1" pivotButton="0" quotePrefix="0" xfId="0">
      <alignment horizontal="left" vertical="center" wrapText="1"/>
    </xf>
    <xf numFmtId="0" fontId="11" fillId="0" borderId="11" applyAlignment="1" pivotButton="0" quotePrefix="0" xfId="0">
      <alignment horizontal="center" vertical="center"/>
    </xf>
    <xf numFmtId="0" fontId="12" fillId="0" borderId="11" applyAlignment="1" pivotButton="0" quotePrefix="0" xfId="0">
      <alignment vertical="center"/>
    </xf>
    <xf numFmtId="14" fontId="12" fillId="0" borderId="11" applyAlignment="1" pivotButton="0" quotePrefix="0" xfId="0">
      <alignment horizontal="center" vertical="center"/>
    </xf>
    <xf numFmtId="0" fontId="12" fillId="0" borderId="31" applyAlignment="1" pivotButton="0" quotePrefix="0" xfId="0">
      <alignment horizontal="center" vertical="center"/>
    </xf>
    <xf numFmtId="0" fontId="12" fillId="0" borderId="27" applyAlignment="1" pivotButton="0" quotePrefix="0" xfId="0">
      <alignment horizontal="center" vertical="center"/>
    </xf>
    <xf numFmtId="0" fontId="15" fillId="0" borderId="32" applyAlignment="1" pivotButton="0" quotePrefix="0" xfId="0">
      <alignment horizontal="center" vertical="center" wrapText="1"/>
    </xf>
    <xf numFmtId="0" fontId="15" fillId="0" borderId="31" applyAlignment="1" pivotButton="0" quotePrefix="0" xfId="0">
      <alignment horizontal="center" vertical="center" wrapText="1"/>
    </xf>
    <xf numFmtId="0" fontId="9" fillId="0" borderId="32" applyAlignment="1" pivotButton="0" quotePrefix="0" xfId="0">
      <alignment horizontal="center" vertical="center"/>
    </xf>
    <xf numFmtId="0" fontId="9" fillId="0" borderId="31" applyAlignment="1" pivotButton="0" quotePrefix="0" xfId="0">
      <alignment horizontal="center" vertical="center"/>
    </xf>
    <xf numFmtId="0" fontId="9" fillId="0" borderId="27" applyAlignment="1" pivotButton="0" quotePrefix="0" xfId="0">
      <alignment horizontal="center" vertical="center"/>
    </xf>
    <xf numFmtId="0" fontId="16" fillId="4" borderId="11" applyAlignment="1" pivotButton="0" quotePrefix="0" xfId="0">
      <alignment horizontal="left" vertical="center" wrapText="1"/>
    </xf>
    <xf numFmtId="0" fontId="8" fillId="4" borderId="11" applyAlignment="1" pivotButton="0" quotePrefix="0" xfId="0">
      <alignment vertical="center" wrapText="1"/>
    </xf>
    <xf numFmtId="0" fontId="8" fillId="4" borderId="11" applyAlignment="1" pivotButton="0" quotePrefix="0" xfId="0">
      <alignment vertical="center"/>
    </xf>
    <xf numFmtId="0" fontId="16" fillId="0" borderId="11" applyAlignment="1" pivotButton="0" quotePrefix="0" xfId="0">
      <alignment vertical="center"/>
    </xf>
    <xf numFmtId="0" fontId="8" fillId="0" borderId="11" applyAlignment="1" pivotButton="0" quotePrefix="0" xfId="0">
      <alignment vertical="center"/>
    </xf>
    <xf numFmtId="0" fontId="16" fillId="0" borderId="11" applyAlignment="1" pivotButton="0" quotePrefix="0" xfId="0">
      <alignment horizontal="left" vertical="center" wrapText="1"/>
    </xf>
    <xf numFmtId="0" fontId="18" fillId="0" borderId="11" applyAlignment="1" pivotButton="0" quotePrefix="0" xfId="0">
      <alignment horizontal="left" vertical="center" wrapText="1"/>
    </xf>
    <xf numFmtId="0" fontId="19" fillId="0" borderId="11" applyAlignment="1" pivotButton="0" quotePrefix="0" xfId="0">
      <alignment vertical="center"/>
    </xf>
    <xf numFmtId="0" fontId="18" fillId="0" borderId="11" applyAlignment="1" pivotButton="0" quotePrefix="0" xfId="0">
      <alignment vertical="center"/>
    </xf>
    <xf numFmtId="0" fontId="9" fillId="0" borderId="11" applyAlignment="1" pivotButton="0" quotePrefix="0" xfId="0">
      <alignment horizontal="center" vertical="center"/>
    </xf>
    <xf numFmtId="0" fontId="16" fillId="0" borderId="11" applyAlignment="1" pivotButton="0" quotePrefix="0" xfId="0">
      <alignment vertical="center" wrapText="1"/>
    </xf>
    <xf numFmtId="0" fontId="16" fillId="4" borderId="11" applyAlignment="1" pivotButton="0" quotePrefix="0" xfId="0">
      <alignment vertical="center" wrapText="1"/>
    </xf>
    <xf numFmtId="0" fontId="8" fillId="0" borderId="11" applyAlignment="1" pivotButton="0" quotePrefix="0" xfId="0">
      <alignment vertical="center" wrapText="1"/>
    </xf>
    <xf numFmtId="0" fontId="9" fillId="0" borderId="33" applyAlignment="1" pivotButton="0" quotePrefix="0" xfId="0">
      <alignment horizontal="center" vertical="center"/>
    </xf>
    <xf numFmtId="0" fontId="8" fillId="0" borderId="32" applyAlignment="1" pivotButton="0" quotePrefix="0" xfId="0">
      <alignment horizontal="center" vertical="center"/>
    </xf>
    <xf numFmtId="0" fontId="8" fillId="0" borderId="31" applyAlignment="1" pivotButton="0" quotePrefix="0" xfId="0">
      <alignment horizontal="center" vertical="center"/>
    </xf>
    <xf numFmtId="0" fontId="8" fillId="0" borderId="27" applyAlignment="1" pivotButton="0" quotePrefix="0" xfId="0">
      <alignment horizontal="center" vertical="center"/>
    </xf>
    <xf numFmtId="0" fontId="8" fillId="0" borderId="11" applyAlignment="1" pivotButton="0" quotePrefix="0" xfId="0">
      <alignment vertical="center"/>
    </xf>
    <xf numFmtId="0" fontId="16" fillId="0" borderId="11" applyAlignment="1" pivotButton="0" quotePrefix="0" xfId="0">
      <alignment vertical="center" wrapText="1" readingOrder="1"/>
    </xf>
    <xf numFmtId="0" fontId="8" fillId="0" borderId="11" applyAlignment="1" pivotButton="0" quotePrefix="0" xfId="0">
      <alignment horizontal="left" vertical="center"/>
    </xf>
    <xf numFmtId="0" fontId="8" fillId="0" borderId="31" applyAlignment="1" pivotButton="0" quotePrefix="0" xfId="0">
      <alignment vertical="center"/>
    </xf>
    <xf numFmtId="0" fontId="20" fillId="0" borderId="34" applyAlignment="1" pivotButton="0" quotePrefix="0" xfId="0">
      <alignment horizontal="center" vertical="center" wrapText="1"/>
    </xf>
    <xf numFmtId="0" fontId="20" fillId="0" borderId="35" applyAlignment="1" pivotButton="0" quotePrefix="0" xfId="0">
      <alignment horizontal="center" vertical="center" wrapText="1"/>
    </xf>
    <xf numFmtId="0" fontId="20" fillId="0" borderId="36" applyAlignment="1" pivotButton="0" quotePrefix="0" xfId="0">
      <alignment horizontal="center" vertical="center" wrapText="1"/>
    </xf>
    <xf numFmtId="0" fontId="21" fillId="0" borderId="11" applyAlignment="1" pivotButton="0" quotePrefix="0" xfId="0">
      <alignment vertical="center" wrapText="1" readingOrder="1"/>
    </xf>
    <xf numFmtId="0" fontId="20" fillId="0" borderId="14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20" fillId="0" borderId="15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/>
    </xf>
    <xf numFmtId="0" fontId="20" fillId="0" borderId="37" applyAlignment="1" pivotButton="0" quotePrefix="0" xfId="0">
      <alignment horizontal="center" vertical="center" wrapText="1"/>
    </xf>
    <xf numFmtId="0" fontId="20" fillId="0" borderId="38" applyAlignment="1" pivotButton="0" quotePrefix="0" xfId="0">
      <alignment horizontal="center" vertical="center" wrapText="1"/>
    </xf>
    <xf numFmtId="0" fontId="20" fillId="0" borderId="39" applyAlignment="1" pivotButton="0" quotePrefix="0" xfId="0">
      <alignment horizontal="center" vertical="center" wrapText="1"/>
    </xf>
    <xf numFmtId="0" fontId="8" fillId="0" borderId="40" applyAlignment="1" pivotButton="0" quotePrefix="0" xfId="0">
      <alignment horizontal="center" vertical="center"/>
    </xf>
    <xf numFmtId="0" fontId="8" fillId="2" borderId="11" applyAlignment="1" pivotButton="0" quotePrefix="0" xfId="0">
      <alignment horizontal="center" vertical="center"/>
    </xf>
    <xf numFmtId="0" fontId="21" fillId="0" borderId="11" applyAlignment="1" pivotButton="0" quotePrefix="0" xfId="0">
      <alignment vertical="center"/>
    </xf>
    <xf numFmtId="0" fontId="8" fillId="2" borderId="11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2" fillId="0" borderId="33" applyAlignment="1" pivotButton="0" quotePrefix="0" xfId="0">
      <alignment horizontal="left" vertical="center" wrapText="1"/>
    </xf>
    <xf numFmtId="0" fontId="23" fillId="0" borderId="28" applyAlignment="1" pivotButton="0" quotePrefix="0" xfId="0">
      <alignment horizontal="center" vertical="center"/>
    </xf>
    <xf numFmtId="0" fontId="1" fillId="0" borderId="29" applyAlignment="1" pivotButton="0" quotePrefix="0" xfId="0">
      <alignment horizontal="center" vertical="center"/>
    </xf>
    <xf numFmtId="0" fontId="1" fillId="0" borderId="30" applyAlignment="1" pivotButton="0" quotePrefix="0" xfId="0">
      <alignment horizontal="center" vertical="center"/>
    </xf>
    <xf numFmtId="0" fontId="23" fillId="0" borderId="28" applyAlignment="1" pivotButton="0" quotePrefix="0" xfId="0">
      <alignment vertical="center"/>
    </xf>
    <xf numFmtId="14" fontId="1" fillId="0" borderId="41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0" borderId="42" applyAlignment="1" pivotButton="0" quotePrefix="0" xfId="0">
      <alignment horizontal="center" vertical="center"/>
    </xf>
    <xf numFmtId="0" fontId="23" fillId="0" borderId="29" applyAlignment="1" pivotButton="0" quotePrefix="0" xfId="0">
      <alignment horizontal="left" vertical="center"/>
    </xf>
    <xf numFmtId="0" fontId="1" fillId="0" borderId="29" applyAlignment="1" pivotButton="0" quotePrefix="0" xfId="0">
      <alignment horizontal="left" vertical="center"/>
    </xf>
    <xf numFmtId="0" fontId="1" fillId="0" borderId="30" applyAlignment="1" pivotButton="0" quotePrefix="0" xfId="0">
      <alignment horizontal="left" vertical="center"/>
    </xf>
    <xf numFmtId="0" fontId="24" fillId="2" borderId="4" applyAlignment="1" pivotButton="0" quotePrefix="0" xfId="51">
      <alignment horizontal="center" vertical="center" wrapText="1" shrinkToFit="1"/>
    </xf>
    <xf numFmtId="0" fontId="22" fillId="2" borderId="5" applyAlignment="1" pivotButton="0" quotePrefix="0" xfId="51">
      <alignment horizontal="center" vertical="center" wrapText="1" shrinkToFit="1"/>
    </xf>
    <xf numFmtId="0" fontId="22" fillId="2" borderId="6" applyAlignment="1" pivotButton="0" quotePrefix="0" xfId="51">
      <alignment horizontal="center" vertical="center" wrapText="1" shrinkToFit="1"/>
    </xf>
    <xf numFmtId="0" fontId="2" fillId="0" borderId="43" applyAlignment="1" pivotButton="0" quotePrefix="0" xfId="0">
      <alignment horizontal="center" vertical="center" wrapText="1"/>
    </xf>
    <xf numFmtId="0" fontId="2" fillId="0" borderId="27" applyAlignment="1" pivotButton="0" quotePrefix="0" xfId="0">
      <alignment horizontal="center" vertical="center" wrapText="1"/>
    </xf>
    <xf numFmtId="0" fontId="6" fillId="0" borderId="11" applyAlignment="1" pivotButton="0" quotePrefix="0" xfId="0">
      <alignment horizontal="center" vertical="center" wrapText="1"/>
    </xf>
    <xf numFmtId="0" fontId="6" fillId="0" borderId="12" applyAlignment="1" pivotButton="0" quotePrefix="0" xfId="0">
      <alignment horizontal="center" vertical="center" wrapText="1"/>
    </xf>
    <xf numFmtId="0" fontId="2" fillId="0" borderId="44" applyAlignment="1" pivotButton="0" quotePrefix="0" xfId="0">
      <alignment horizontal="center" vertical="center" wrapText="1"/>
    </xf>
    <xf numFmtId="0" fontId="2" fillId="0" borderId="36" applyAlignment="1" pivotButton="0" quotePrefix="0" xfId="0">
      <alignment horizontal="center" vertical="center" wrapText="1"/>
    </xf>
    <xf numFmtId="0" fontId="6" fillId="0" borderId="12" applyAlignment="1" pivotButton="0" quotePrefix="0" xfId="0">
      <alignment horizontal="center" vertical="center"/>
    </xf>
    <xf numFmtId="0" fontId="2" fillId="0" borderId="45" applyAlignment="1" pivotButton="0" quotePrefix="0" xfId="0">
      <alignment horizontal="center" vertical="center" wrapText="1"/>
    </xf>
    <xf numFmtId="0" fontId="2" fillId="0" borderId="46" applyAlignment="1" pivotButton="0" quotePrefix="0" xfId="0">
      <alignment horizontal="center" vertical="center" wrapText="1"/>
    </xf>
    <xf numFmtId="0" fontId="6" fillId="0" borderId="8" applyAlignment="1" pivotButton="0" quotePrefix="0" xfId="0">
      <alignment horizontal="center" vertical="center"/>
    </xf>
    <xf numFmtId="0" fontId="25" fillId="0" borderId="47" applyAlignment="1" pivotButton="0" quotePrefix="0" xfId="0">
      <alignment horizontal="center" vertical="center"/>
    </xf>
    <xf numFmtId="0" fontId="26" fillId="0" borderId="48" applyAlignment="1" pivotButton="0" quotePrefix="0" xfId="0">
      <alignment horizontal="center" vertical="center"/>
    </xf>
    <xf numFmtId="0" fontId="26" fillId="0" borderId="49" applyAlignment="1" pivotButton="0" quotePrefix="0" xfId="0">
      <alignment horizontal="center" vertical="center"/>
    </xf>
    <xf numFmtId="0" fontId="26" fillId="0" borderId="10" applyAlignment="1" pivotButton="0" quotePrefix="0" xfId="0">
      <alignment horizontal="center" vertical="center"/>
    </xf>
    <xf numFmtId="0" fontId="26" fillId="0" borderId="11" applyAlignment="1" pivotButton="0" quotePrefix="0" xfId="0">
      <alignment horizontal="center" vertical="center"/>
    </xf>
    <xf numFmtId="0" fontId="26" fillId="0" borderId="12" applyAlignment="1" pivotButton="0" quotePrefix="0" xfId="0">
      <alignment horizontal="center" vertical="center"/>
    </xf>
    <xf numFmtId="0" fontId="25" fillId="0" borderId="10" applyAlignment="1" pivotButton="0" quotePrefix="0" xfId="0">
      <alignment horizontal="center" vertical="center"/>
    </xf>
    <xf numFmtId="0" fontId="25" fillId="0" borderId="11" applyAlignment="1" pivotButton="0" quotePrefix="0" xfId="0">
      <alignment horizontal="center" vertical="center"/>
    </xf>
    <xf numFmtId="0" fontId="25" fillId="0" borderId="12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 vertical="center"/>
    </xf>
    <xf numFmtId="0" fontId="6" fillId="0" borderId="27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0" fontId="2" fillId="0" borderId="33" applyAlignment="1" pivotButton="0" quotePrefix="0" xfId="0">
      <alignment horizontal="center" vertical="center"/>
    </xf>
    <xf numFmtId="0" fontId="2" fillId="0" borderId="50" applyAlignment="1" pivotButton="0" quotePrefix="0" xfId="0">
      <alignment horizontal="center" vertical="center"/>
    </xf>
    <xf numFmtId="0" fontId="25" fillId="0" borderId="6" applyAlignment="1" pivotButton="0" quotePrefix="0" xfId="0">
      <alignment horizontal="center" vertical="center"/>
    </xf>
    <xf numFmtId="0" fontId="2" fillId="0" borderId="43" applyAlignment="1" pivotButton="0" quotePrefix="0" xfId="0">
      <alignment horizontal="left" vertical="center" wrapText="1"/>
    </xf>
    <xf numFmtId="0" fontId="2" fillId="0" borderId="31" applyAlignment="1" pivotButton="0" quotePrefix="0" xfId="0">
      <alignment horizontal="left" vertical="center" wrapText="1"/>
    </xf>
    <xf numFmtId="0" fontId="2" fillId="0" borderId="27" applyAlignment="1" pivotButton="0" quotePrefix="0" xfId="0">
      <alignment horizontal="left" vertical="center" wrapText="1"/>
    </xf>
    <xf numFmtId="0" fontId="25" fillId="2" borderId="4" applyAlignment="1" pivotButton="0" quotePrefix="0" xfId="0">
      <alignment horizontal="center" vertical="center"/>
    </xf>
    <xf numFmtId="0" fontId="26" fillId="2" borderId="5" applyAlignment="1" pivotButton="0" quotePrefix="0" xfId="0">
      <alignment horizontal="center" vertical="center"/>
    </xf>
    <xf numFmtId="0" fontId="2" fillId="0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left" vertical="center" wrapText="1"/>
    </xf>
    <xf numFmtId="0" fontId="23" fillId="2" borderId="4" applyAlignment="1" pivotButton="0" quotePrefix="0" xfId="52">
      <alignment horizontal="center" vertical="center" wrapText="1" shrinkToFit="1"/>
    </xf>
    <xf numFmtId="0" fontId="1" fillId="2" borderId="5" applyAlignment="1" pivotButton="0" quotePrefix="0" xfId="52">
      <alignment horizontal="center" vertical="center" wrapText="1" shrinkToFit="1"/>
    </xf>
    <xf numFmtId="0" fontId="1" fillId="2" borderId="6" applyAlignment="1" pivotButton="0" quotePrefix="0" xfId="52">
      <alignment horizontal="center" vertical="center" wrapText="1" shrinkToFit="1"/>
    </xf>
    <xf numFmtId="0" fontId="6" fillId="0" borderId="10" applyAlignment="1" pivotButton="0" quotePrefix="0" xfId="0">
      <alignment vertical="center"/>
    </xf>
    <xf numFmtId="0" fontId="6" fillId="0" borderId="11" applyAlignment="1" pivotButton="0" quotePrefix="0" xfId="0">
      <alignment vertical="center"/>
    </xf>
    <xf numFmtId="0" fontId="2" fillId="0" borderId="10" applyAlignment="1" pivotButton="0" quotePrefix="0" xfId="0">
      <alignment vertical="center"/>
    </xf>
    <xf numFmtId="0" fontId="2" fillId="2" borderId="11" applyAlignment="1" pivotButton="0" quotePrefix="0" xfId="0">
      <alignment horizontal="center" vertical="center"/>
    </xf>
    <xf numFmtId="0" fontId="6" fillId="3" borderId="11" applyAlignment="1" pivotButton="0" quotePrefix="0" xfId="0">
      <alignment horizontal="center" vertical="center"/>
    </xf>
    <xf numFmtId="0" fontId="2" fillId="0" borderId="11" applyAlignment="1" pivotButton="0" quotePrefix="0" xfId="0">
      <alignment vertical="center"/>
    </xf>
    <xf numFmtId="0" fontId="2" fillId="3" borderId="51" applyAlignment="1" pivotButton="0" quotePrefix="0" xfId="0">
      <alignment horizontal="center" vertical="center"/>
    </xf>
    <xf numFmtId="0" fontId="2" fillId="3" borderId="11" applyAlignment="1" pivotButton="0" quotePrefix="0" xfId="0">
      <alignment horizontal="center" vertical="center"/>
    </xf>
    <xf numFmtId="49" fontId="23" fillId="0" borderId="7" applyAlignment="1" pivotButton="0" quotePrefix="0" xfId="0">
      <alignment horizontal="left" vertical="center"/>
    </xf>
    <xf numFmtId="49" fontId="1" fillId="0" borderId="8" applyAlignment="1" pivotButton="0" quotePrefix="0" xfId="0">
      <alignment horizontal="left" vertical="center"/>
    </xf>
    <xf numFmtId="49" fontId="23" fillId="0" borderId="8" applyAlignment="1" pivotButton="0" quotePrefix="0" xfId="0">
      <alignment horizontal="left" vertical="center"/>
    </xf>
    <xf numFmtId="49" fontId="1" fillId="0" borderId="9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2" pivotButton="0" quotePrefix="0" xfId="0"/>
    <xf numFmtId="0" fontId="0" fillId="0" borderId="42" pivotButton="0" quotePrefix="0" xfId="0"/>
    <xf numFmtId="14" fontId="1" fillId="0" borderId="29" applyAlignment="1" pivotButton="0" quotePrefix="0" xfId="0">
      <alignment horizontal="center" vertical="center"/>
    </xf>
    <xf numFmtId="0" fontId="0" fillId="0" borderId="48" pivotButton="0" quotePrefix="0" xfId="0"/>
    <xf numFmtId="0" fontId="0" fillId="0" borderId="23" pivotButton="0" quotePrefix="0" xfId="0"/>
    <xf numFmtId="0" fontId="0" fillId="0" borderId="27" pivotButton="0" quotePrefix="0" xfId="0"/>
    <xf numFmtId="0" fontId="0" fillId="0" borderId="45" pivotButton="0" quotePrefix="0" xfId="0"/>
    <xf numFmtId="0" fontId="0" fillId="0" borderId="46" pivotButton="0" quotePrefix="0" xfId="0"/>
    <xf numFmtId="0" fontId="0" fillId="0" borderId="40" pivotButton="0" quotePrefix="0" xfId="0"/>
    <xf numFmtId="0" fontId="0" fillId="0" borderId="62" pivotButton="0" quotePrefix="0" xfId="0"/>
    <xf numFmtId="0" fontId="25" fillId="0" borderId="22" applyAlignment="1" pivotButton="0" quotePrefix="0" xfId="0">
      <alignment horizontal="center" vertical="center"/>
    </xf>
    <xf numFmtId="0" fontId="0" fillId="0" borderId="49" pivotButton="0" quotePrefix="0" xfId="0"/>
    <xf numFmtId="0" fontId="0" fillId="0" borderId="31" pivotButton="0" quotePrefix="0" xfId="0"/>
    <xf numFmtId="0" fontId="0" fillId="0" borderId="2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5" pivotButton="0" quotePrefix="0" xfId="0"/>
    <xf numFmtId="0" fontId="0" fillId="0" borderId="61" pivotButton="0" quotePrefix="0" xfId="0"/>
    <xf numFmtId="0" fontId="20" fillId="0" borderId="11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18" pivotButton="0" quotePrefix="0" xfId="0"/>
    <xf numFmtId="0" fontId="10" fillId="0" borderId="64" applyAlignment="1" applyProtection="1" pivotButton="0" quotePrefix="0" xfId="0">
      <alignment horizontal="center" vertical="center"/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60" applyProtection="1" pivotButton="0" quotePrefix="0" xfId="0">
      <protection locked="0" hidden="0"/>
    </xf>
    <xf numFmtId="0" fontId="0" fillId="0" borderId="66" pivotButton="0" quotePrefix="0" xfId="0"/>
    <xf numFmtId="0" fontId="0" fillId="0" borderId="37" applyProtection="1" pivotButton="0" quotePrefix="0" xfId="0">
      <protection locked="0" hidden="0"/>
    </xf>
    <xf numFmtId="0" fontId="0" fillId="0" borderId="39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0" fillId="0" borderId="66" applyProtection="1" pivotButton="0" quotePrefix="0" xfId="0">
      <protection locked="0" hidden="0"/>
    </xf>
    <xf numFmtId="0" fontId="0" fillId="0" borderId="48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0" fontId="0" fillId="0" borderId="6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0" fillId="0" borderId="42" applyProtection="1" pivotButton="0" quotePrefix="0" xfId="0">
      <protection locked="0" hidden="0"/>
    </xf>
    <xf numFmtId="0" fontId="0" fillId="0" borderId="3" pivotButton="0" quotePrefix="0" xfId="0"/>
    <xf numFmtId="0" fontId="4" fillId="2" borderId="67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68" pivotButton="0" quotePrefix="0" xfId="0"/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" xfId="49"/>
    <cellStyle name="常规 41" xfId="50"/>
    <cellStyle name="常规_Sheet1" xfId="51"/>
    <cellStyle name="常规_Sheet1 2" xf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jpeg" Id="rId1"/><Relationship Type="http://schemas.openxmlformats.org/officeDocument/2006/relationships/image" Target="/xl/media/image4.jpe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5.jpe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7.png" Id="rId1"/></Relationships>
</file>

<file path=xl/drawings/drawing1.xml><?xml version="1.0" encoding="utf-8"?>
<wsDr xmlns="http://schemas.openxmlformats.org/drawingml/2006/spreadsheetDrawing">
  <twoCellAnchor>
    <from>
      <col>0</col>
      <colOff>228601</colOff>
      <row>0</row>
      <rowOff>101600</rowOff>
    </from>
    <to>
      <col>0</col>
      <colOff>1047750</colOff>
      <row>0</row>
      <rowOff>520700</rowOff>
    </to>
    <pic>
      <nvPicPr>
        <cNvPr id="2" name="图片 6" descr="华大股份-logo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28600" y="101600"/>
          <a:ext cx="107950" cy="4191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>
    <from>
      <col>0</col>
      <colOff>228601</colOff>
      <row>0</row>
      <rowOff>101600</rowOff>
    </from>
    <to>
      <col>1</col>
      <colOff>752475</colOff>
      <row>0</row>
      <rowOff>520700</rowOff>
    </to>
    <pic>
      <nvPicPr>
        <cNvPr id="3" name="图片 6" descr="华大股份-logo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228600" y="101600"/>
          <a:ext cx="860425" cy="4191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0</col>
      <colOff>228601</colOff>
      <row>0</row>
      <rowOff>101600</rowOff>
    </from>
    <to>
      <col>0</col>
      <colOff>1047750</colOff>
      <row>0</row>
      <rowOff>520700</rowOff>
    </to>
    <pic>
      <nvPicPr>
        <cNvPr id="4" name="图片 6" descr="华大股份-logo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28600" y="101600"/>
          <a:ext cx="819150" cy="4191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>
    <from>
      <col>0</col>
      <colOff>242890</colOff>
      <row>0</row>
      <rowOff>82550</rowOff>
    </from>
    <to>
      <col>1</col>
      <colOff>166687</colOff>
      <row>0</row>
      <rowOff>501650</rowOff>
    </to>
    <pic>
      <nvPicPr>
        <cNvPr id="5" name="图片 6" descr="华大股份-logo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242570" y="82550"/>
          <a:ext cx="1123950" cy="4191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>
    <from>
      <col>0</col>
      <colOff>0</colOff>
      <row>0</row>
      <rowOff>30480</rowOff>
    </from>
    <to>
      <col>0</col>
      <colOff>904217</colOff>
      <row>0</row>
      <rowOff>464819</rowOff>
    </to>
    <pic>
      <nvPicPr>
        <cNvPr id="3" name="图片 6" descr="华大股份-logo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>
        <a:xfrm xmlns:a="http://schemas.openxmlformats.org/drawingml/2006/main">
          <a:off x="0" y="30480"/>
          <a:ext cx="903605" cy="43370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0</col>
      <colOff>735741</colOff>
      <row>0</row>
      <rowOff>59671</rowOff>
    </from>
    <to>
      <col>1</col>
      <colOff>841413</colOff>
      <row>0</row>
      <rowOff>648652</rowOff>
    </to>
    <pic>
      <nvPicPr>
        <cNvPr id="3" name="图片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35330" y="59055"/>
          <a:ext cx="1547495" cy="58928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0</col>
      <colOff>858073</colOff>
      <row>0</row>
      <rowOff>54536</rowOff>
    </from>
    <to>
      <col>1</col>
      <colOff>0</colOff>
      <row>0</row>
      <rowOff>694688</rowOff>
    </to>
    <pic>
      <nvPicPr>
        <cNvPr id="3" name="图片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57885" y="53975"/>
          <a:ext cx="691515" cy="64008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tabSelected="1" workbookViewId="0">
      <selection activeCell="C44" sqref="C44"/>
    </sheetView>
  </sheetViews>
  <sheetFormatPr baseColWidth="8" defaultColWidth="9" defaultRowHeight="15.5"/>
  <cols>
    <col width="4.41666666666667" customWidth="1" style="182" min="1" max="1"/>
    <col width="17.5833333333333" customWidth="1" style="182" min="2" max="2"/>
    <col width="16.8333333333333" customWidth="1" style="182" min="3" max="3"/>
    <col width="14.8333333333333" customWidth="1" style="182" min="4" max="4"/>
    <col width="6.33333333333333" customWidth="1" style="182" min="5" max="5"/>
    <col width="14.25" customWidth="1" style="182" min="6" max="6"/>
    <col width="16.8333333333333" customWidth="1" style="182" min="7" max="7"/>
    <col width="11.0833333333333" customWidth="1" style="182" min="8" max="8"/>
    <col width="9" customWidth="1" style="182" min="9" max="16384"/>
  </cols>
  <sheetData>
    <row r="1" ht="48.4" customHeight="1" s="246">
      <c r="A1" s="183" t="n"/>
      <c r="C1" s="184" t="n"/>
      <c r="D1" s="247" t="n"/>
      <c r="E1" s="247" t="n"/>
      <c r="F1" s="247" t="n"/>
      <c r="G1" s="247" t="n"/>
      <c r="H1" s="248" t="n"/>
    </row>
    <row r="2" ht="16.25" customHeight="1" s="246">
      <c r="A2" s="185" t="inlineStr">
        <is>
          <t>联合实验室SIRO PTseq病原微生物高通量基因检测样本前处理任务单</t>
        </is>
      </c>
      <c r="B2" s="249" t="n"/>
      <c r="C2" s="249" t="n"/>
      <c r="D2" s="249" t="n"/>
      <c r="E2" s="249" t="n"/>
      <c r="F2" s="249" t="n"/>
      <c r="G2" s="249" t="n"/>
      <c r="H2" s="250" t="n"/>
    </row>
    <row r="3" ht="16.25" customHeight="1" s="246">
      <c r="A3" s="188" t="inlineStr">
        <is>
          <t>提取日期：</t>
        </is>
      </c>
      <c r="B3" s="251">
        <f>TODAY()</f>
        <v/>
      </c>
      <c r="C3" s="249" t="n"/>
      <c r="D3" s="250" t="n"/>
      <c r="E3" s="192" t="inlineStr">
        <is>
          <t>试剂盒批次：</t>
        </is>
      </c>
      <c r="F3" s="249" t="n"/>
      <c r="G3" s="249" t="n"/>
      <c r="H3" s="250" t="n"/>
    </row>
    <row r="4">
      <c r="A4" s="195" t="inlineStr">
        <is>
          <t>内标准备</t>
        </is>
      </c>
      <c r="B4" s="252" t="n"/>
      <c r="C4" s="252" t="n"/>
      <c r="D4" s="252" t="n"/>
      <c r="E4" s="252" t="n"/>
      <c r="F4" s="252" t="n"/>
      <c r="G4" s="252" t="n"/>
      <c r="H4" s="253" t="n"/>
    </row>
    <row r="5" ht="31.15" customFormat="1" customHeight="1" s="181">
      <c r="A5" s="28" t="n"/>
      <c r="B5" s="254" t="n"/>
      <c r="C5" s="200" t="inlineStr">
        <is>
          <t>内标名称</t>
        </is>
      </c>
      <c r="D5" s="200" t="inlineStr">
        <is>
          <t>最少取样量(μL)</t>
        </is>
      </c>
      <c r="E5" s="200" t="inlineStr">
        <is>
          <t>配制份数</t>
        </is>
      </c>
      <c r="F5" s="200" t="inlineStr">
        <is>
          <t>体积(μL)</t>
        </is>
      </c>
      <c r="G5" s="200" t="inlineStr">
        <is>
          <t>确认打√</t>
        </is>
      </c>
      <c r="H5" s="201" t="inlineStr">
        <is>
          <t>备注</t>
        </is>
      </c>
    </row>
    <row r="6">
      <c r="A6" s="31" t="inlineStr">
        <is>
          <t>40×内标</t>
        </is>
      </c>
      <c r="B6" s="248" t="n"/>
      <c r="C6" s="24" t="inlineStr">
        <is>
          <t>T15 内标</t>
        </is>
      </c>
      <c r="D6" s="24" t="n">
        <v>2</v>
      </c>
      <c r="E6" s="24" t="n">
        <v>1</v>
      </c>
      <c r="F6" s="24">
        <f>D6*E6</f>
        <v/>
      </c>
      <c r="G6" s="24" t="n"/>
      <c r="H6" s="204" t="inlineStr">
        <is>
          <t>现用现配</t>
        </is>
      </c>
    </row>
    <row r="7" ht="16.25" customHeight="1" s="246">
      <c r="A7" s="255" t="n"/>
      <c r="B7" s="256" t="n"/>
      <c r="C7" s="207" t="inlineStr">
        <is>
          <t>无核酸酶水</t>
        </is>
      </c>
      <c r="D7" s="17" t="n">
        <v>78</v>
      </c>
      <c r="E7" s="257" t="n"/>
      <c r="F7" s="17">
        <f>D7*E6</f>
        <v/>
      </c>
      <c r="G7" s="17" t="n"/>
      <c r="H7" s="258" t="n"/>
    </row>
    <row r="8" ht="16.25" customHeight="1" s="246">
      <c r="A8" s="183" t="n"/>
      <c r="B8" s="183" t="n"/>
      <c r="C8" s="183" t="n"/>
      <c r="D8" s="183" t="n"/>
      <c r="E8" s="183" t="n"/>
      <c r="F8" s="183" t="n"/>
      <c r="G8" s="183" t="n"/>
      <c r="H8" s="183" t="n"/>
    </row>
    <row r="9">
      <c r="A9" s="259" t="inlineStr">
        <is>
          <t>试剂配制</t>
        </is>
      </c>
      <c r="B9" s="252" t="n"/>
      <c r="C9" s="252" t="n"/>
      <c r="D9" s="252" t="n"/>
      <c r="E9" s="252" t="n"/>
      <c r="F9" s="252" t="n"/>
      <c r="G9" s="252" t="n"/>
      <c r="H9" s="260" t="n"/>
    </row>
    <row r="10">
      <c r="A10" s="211" t="inlineStr">
        <is>
          <t>48人份试剂</t>
        </is>
      </c>
      <c r="B10" s="261" t="n"/>
      <c r="C10" s="261" t="n"/>
      <c r="D10" s="254" t="n"/>
      <c r="E10" s="212" t="inlineStr">
        <is>
          <t>16人份试剂</t>
        </is>
      </c>
      <c r="F10" s="261" t="n"/>
      <c r="G10" s="261" t="n"/>
      <c r="H10" s="254" t="n"/>
    </row>
    <row r="11">
      <c r="A11" s="214" t="inlineStr">
        <is>
          <t>试剂名称</t>
        </is>
      </c>
      <c r="B11" s="254" t="n"/>
      <c r="C11" s="215" t="inlineStr">
        <is>
          <t>消泡剂加入量</t>
        </is>
      </c>
      <c r="D11" s="215" t="inlineStr">
        <is>
          <t>确认打√</t>
        </is>
      </c>
      <c r="E11" s="215" t="inlineStr">
        <is>
          <t>试剂名称</t>
        </is>
      </c>
      <c r="F11" s="254" t="n"/>
      <c r="G11" s="215" t="inlineStr">
        <is>
          <t>消泡剂加入量</t>
        </is>
      </c>
      <c r="H11" s="216" t="inlineStr">
        <is>
          <t>确认打√</t>
        </is>
      </c>
    </row>
    <row r="12" ht="15" customHeight="1" s="246">
      <c r="A12" s="217" t="inlineStr">
        <is>
          <t>裂解液</t>
        </is>
      </c>
      <c r="B12" s="254" t="n"/>
      <c r="C12" s="24" t="inlineStr">
        <is>
          <t>60μL</t>
        </is>
      </c>
      <c r="D12" s="24" t="n"/>
      <c r="E12" s="218" t="inlineStr">
        <is>
          <t>裂解液</t>
        </is>
      </c>
      <c r="F12" s="254" t="n"/>
      <c r="G12" s="24" t="inlineStr">
        <is>
          <t>20μL</t>
        </is>
      </c>
      <c r="H12" s="25" t="n"/>
    </row>
    <row r="13">
      <c r="A13" s="214" t="inlineStr">
        <is>
          <t>试剂名称</t>
        </is>
      </c>
      <c r="B13" s="254" t="n"/>
      <c r="C13" s="215" t="inlineStr">
        <is>
          <t>无水乙醇加入量</t>
        </is>
      </c>
      <c r="D13" s="215" t="inlineStr">
        <is>
          <t>确认打√</t>
        </is>
      </c>
      <c r="E13" s="215" t="inlineStr">
        <is>
          <t>试剂名称</t>
        </is>
      </c>
      <c r="F13" s="254" t="n"/>
      <c r="G13" s="215" t="inlineStr">
        <is>
          <t>无水乙醇加入量</t>
        </is>
      </c>
      <c r="H13" s="216" t="inlineStr">
        <is>
          <t>确认打√</t>
        </is>
      </c>
    </row>
    <row r="14">
      <c r="A14" s="217" t="inlineStr">
        <is>
          <t>清洗液A</t>
        </is>
      </c>
      <c r="B14" s="254" t="n"/>
      <c r="C14" s="24" t="inlineStr">
        <is>
          <t>69mL</t>
        </is>
      </c>
      <c r="D14" s="24" t="n"/>
      <c r="E14" s="219" t="inlineStr">
        <is>
          <t>清洗液A</t>
        </is>
      </c>
      <c r="F14" s="254" t="n"/>
      <c r="G14" s="24" t="inlineStr">
        <is>
          <t>23mL</t>
        </is>
      </c>
      <c r="H14" s="25" t="n"/>
    </row>
    <row r="15" ht="16.25" customHeight="1" s="246">
      <c r="A15" s="220" t="inlineStr">
        <is>
          <t>清洗液B</t>
        </is>
      </c>
      <c r="B15" s="262" t="n"/>
      <c r="C15" s="17" t="inlineStr">
        <is>
          <t>96mL</t>
        </is>
      </c>
      <c r="D15" s="17" t="n"/>
      <c r="E15" s="207" t="inlineStr">
        <is>
          <t>清洗液B</t>
        </is>
      </c>
      <c r="F15" s="262" t="n"/>
      <c r="G15" s="17" t="inlineStr">
        <is>
          <t>32mL</t>
        </is>
      </c>
      <c r="H15" s="18" t="n"/>
    </row>
    <row r="16" ht="16.25" customHeight="1" s="246">
      <c r="A16" s="183" t="n"/>
      <c r="B16" s="183" t="n"/>
      <c r="C16" s="183" t="n"/>
      <c r="D16" s="183" t="n"/>
      <c r="E16" s="183" t="n"/>
      <c r="F16" s="183" t="n"/>
      <c r="G16" s="183" t="n"/>
      <c r="H16" s="183" t="n"/>
    </row>
    <row r="17">
      <c r="A17" s="195" t="inlineStr">
        <is>
          <t>提取反应液mix配制</t>
        </is>
      </c>
      <c r="B17" s="252" t="n"/>
      <c r="C17" s="252" t="n"/>
      <c r="D17" s="252" t="n"/>
      <c r="E17" s="252" t="n"/>
      <c r="F17" s="252" t="n"/>
      <c r="G17" s="252" t="n"/>
      <c r="H17" s="253" t="n"/>
    </row>
    <row r="18">
      <c r="A18" s="217" t="inlineStr">
        <is>
          <t>组分名称</t>
        </is>
      </c>
      <c r="B18" s="254" t="n"/>
      <c r="C18" s="219" t="inlineStr">
        <is>
          <t>单个用量（μL）</t>
        </is>
      </c>
      <c r="D18" s="254" t="n"/>
      <c r="E18" s="219" t="inlineStr">
        <is>
          <t>个数</t>
        </is>
      </c>
      <c r="F18" s="219" t="inlineStr">
        <is>
          <t>体积（μL）</t>
        </is>
      </c>
      <c r="G18" s="219" t="inlineStr">
        <is>
          <t>确认打√</t>
        </is>
      </c>
      <c r="H18" s="204" t="inlineStr">
        <is>
          <t>备注</t>
        </is>
      </c>
    </row>
    <row r="19" ht="15" customHeight="1" s="246">
      <c r="A19" s="217" t="inlineStr">
        <is>
          <t>裂解液（已加消泡剂）</t>
        </is>
      </c>
      <c r="B19" s="254" t="n"/>
      <c r="C19" s="24" t="n">
        <v>175</v>
      </c>
      <c r="D19" s="254" t="n"/>
      <c r="E19" s="24" t="n">
        <v>8</v>
      </c>
      <c r="F19" s="24">
        <f>C19*E19</f>
        <v/>
      </c>
      <c r="G19" s="24" t="n"/>
      <c r="H19" s="204" t="inlineStr">
        <is>
          <t>现用现配</t>
        </is>
      </c>
    </row>
    <row r="20">
      <c r="A20" s="217" t="inlineStr">
        <is>
          <t>结合液</t>
        </is>
      </c>
      <c r="B20" s="254" t="n"/>
      <c r="C20" s="24" t="n">
        <v>175</v>
      </c>
      <c r="D20" s="254" t="n"/>
      <c r="E20" s="263" t="n"/>
      <c r="F20" s="24">
        <f>C20*E19</f>
        <v/>
      </c>
      <c r="G20" s="24" t="n"/>
      <c r="H20" s="264" t="n"/>
    </row>
    <row r="21">
      <c r="A21" s="217" t="inlineStr">
        <is>
          <t>蛋白酶K</t>
        </is>
      </c>
      <c r="B21" s="254" t="n"/>
      <c r="C21" s="24" t="n">
        <v>40</v>
      </c>
      <c r="D21" s="254" t="n"/>
      <c r="E21" s="263" t="n"/>
      <c r="F21" s="24">
        <f>C21*E19</f>
        <v/>
      </c>
      <c r="G21" s="24" t="n"/>
      <c r="H21" s="264" t="n"/>
    </row>
    <row r="22">
      <c r="A22" s="23" t="inlineStr">
        <is>
          <t>T13 DTT</t>
        </is>
      </c>
      <c r="B22" s="254" t="n"/>
      <c r="C22" s="24" t="n">
        <v>0.8</v>
      </c>
      <c r="D22" s="254" t="n"/>
      <c r="E22" s="263" t="n"/>
      <c r="F22" s="24">
        <f>C22*E19</f>
        <v/>
      </c>
      <c r="G22" s="24" t="n"/>
      <c r="H22" s="264" t="n"/>
    </row>
    <row r="23">
      <c r="A23" s="23" t="inlineStr">
        <is>
          <t>T14 RNA酶抑制剂</t>
        </is>
      </c>
      <c r="B23" s="254" t="n"/>
      <c r="C23" s="24" t="n">
        <v>8</v>
      </c>
      <c r="D23" s="254" t="n"/>
      <c r="E23" s="263" t="n"/>
      <c r="F23" s="24">
        <f>C23*E19</f>
        <v/>
      </c>
      <c r="G23" s="221" t="n"/>
      <c r="H23" s="264" t="n"/>
    </row>
    <row r="24" ht="16.25" customHeight="1" s="246">
      <c r="A24" s="17" t="inlineStr">
        <is>
          <t>T15内标</t>
        </is>
      </c>
      <c r="B24" s="262" t="n"/>
      <c r="C24" s="17" t="n">
        <v>2</v>
      </c>
      <c r="D24" s="262" t="n"/>
      <c r="E24" s="257" t="n"/>
      <c r="F24" s="17">
        <f>C24*E19</f>
        <v/>
      </c>
      <c r="G24" s="17" t="n"/>
      <c r="H24" s="258" t="n"/>
    </row>
    <row r="25" ht="16.25" customHeight="1" s="246">
      <c r="A25" s="35" t="n"/>
      <c r="H25" s="265" t="n"/>
    </row>
    <row r="26">
      <c r="A26" s="208" t="inlineStr">
        <is>
          <t>样本前处理</t>
        </is>
      </c>
      <c r="B26" s="252" t="n"/>
      <c r="C26" s="252" t="n"/>
      <c r="D26" s="252" t="n"/>
      <c r="E26" s="252" t="n"/>
      <c r="F26" s="252" t="n"/>
      <c r="G26" s="252" t="n"/>
      <c r="H26" s="223" t="inlineStr">
        <is>
          <t>确认打√</t>
        </is>
      </c>
    </row>
    <row r="27" ht="27" customHeight="1" s="246">
      <c r="A27" s="229" t="inlineStr">
        <is>
          <t>1. 呼吸道样本灭活：70℃烘箱灭活30min。</t>
        </is>
      </c>
      <c r="B27" s="261" t="n"/>
      <c r="C27" s="261" t="n"/>
      <c r="D27" s="261" t="n"/>
      <c r="E27" s="261" t="n"/>
      <c r="F27" s="261" t="n"/>
      <c r="G27" s="254" t="n"/>
      <c r="H27" s="25" t="n"/>
    </row>
    <row r="28" ht="34" customHeight="1" s="246">
      <c r="A28" s="229" t="inlineStr">
        <is>
          <t>2. 粘稠或浑浊样本：取350μL样本加入到1.5mL EP管中，加入350μL PBS，再加入20μL液化液（核酸提取或纯化试剂），振荡20s，65℃孵育5min后，再振荡20s。</t>
        </is>
      </c>
      <c r="B28" s="261" t="n"/>
      <c r="C28" s="261" t="n"/>
      <c r="D28" s="261" t="n"/>
      <c r="E28" s="261" t="n"/>
      <c r="F28" s="261" t="n"/>
      <c r="G28" s="254" t="n"/>
      <c r="H28" s="25" t="n"/>
    </row>
    <row r="29" ht="52" customHeight="1" s="246">
      <c r="A29" s="229" t="inlineStr">
        <is>
          <t>3. 果冻样本：取 150µL 样本（如移液器取不出，用枪头或手术刀切断）加入1.5mL EP管中，向EP管中加入450μL PBS与20µL 液化液（核酸提取或纯化试剂），充分振荡20s，65℃孵育5min后，再充分振荡20s。</t>
        </is>
      </c>
      <c r="B29" s="261" t="n"/>
      <c r="C29" s="261" t="n"/>
      <c r="D29" s="261" t="n"/>
      <c r="E29" s="261" t="n"/>
      <c r="F29" s="261" t="n"/>
      <c r="G29" s="254" t="n"/>
      <c r="H29" s="25" t="n"/>
    </row>
    <row r="30" ht="15.75" customHeight="1" s="246">
      <c r="A30" s="227" t="inlineStr">
        <is>
          <t>样本裂解</t>
        </is>
      </c>
      <c r="B30" s="252" t="n"/>
      <c r="C30" s="252" t="n"/>
      <c r="D30" s="252" t="n"/>
      <c r="E30" s="252" t="n"/>
      <c r="F30" s="252" t="n"/>
      <c r="G30" s="253" t="n"/>
      <c r="H30" s="223" t="inlineStr">
        <is>
          <t>确认打√</t>
        </is>
      </c>
    </row>
    <row r="31" ht="68" customHeight="1" s="246">
      <c r="A31" s="229" t="inlineStr">
        <is>
          <t>1.取样本、阴性对照品和阳性对照品350μL 于干净的研磨管中，加入 400μL提取反应液mix。将研磨管放置到新纵科匀浆仪按照 4500rpm，45s ，间隔2min，2cycles 进行匀浆处理。
2.研磨结束后，10000rpm离心30s。取 425μL 上清到新的1.5 mL离心管中，56°C 温浴 10min。（请小心转移上清，勿将玻璃珠吸出，可将研磨管轻微倾斜，枪头紧贴侧壁随液面缓慢下移吸取上清。</t>
        </is>
      </c>
      <c r="B31" s="261" t="n"/>
      <c r="C31" s="261" t="n"/>
      <c r="D31" s="261" t="n"/>
      <c r="E31" s="261" t="n"/>
      <c r="F31" s="261" t="n"/>
      <c r="G31" s="254" t="n"/>
      <c r="H31" s="25" t="n"/>
    </row>
    <row r="32" ht="15.75" customHeight="1" s="246">
      <c r="A32" s="231" t="inlineStr">
        <is>
          <t>样本信息</t>
        </is>
      </c>
      <c r="B32" s="252" t="n"/>
      <c r="C32" s="252" t="n"/>
      <c r="D32" s="252" t="n"/>
      <c r="E32" s="252" t="n"/>
      <c r="F32" s="252" t="n"/>
      <c r="G32" s="252" t="n"/>
      <c r="H32" s="253" t="n"/>
    </row>
    <row r="33">
      <c r="A33" s="234" t="inlineStr">
        <is>
          <t>序号</t>
        </is>
      </c>
      <c r="B33" s="219" t="inlineStr">
        <is>
          <t>样本编号</t>
        </is>
      </c>
      <c r="C33" s="200" t="inlineStr">
        <is>
          <t>类型</t>
        </is>
      </c>
      <c r="D33" s="219" t="inlineStr">
        <is>
          <t>样本备注</t>
        </is>
      </c>
      <c r="E33" s="235" t="inlineStr">
        <is>
          <t>序号</t>
        </is>
      </c>
      <c r="F33" s="219" t="inlineStr">
        <is>
          <t>样本编号</t>
        </is>
      </c>
      <c r="G33" s="200" t="inlineStr">
        <is>
          <t>类型</t>
        </is>
      </c>
      <c r="H33" s="204" t="inlineStr">
        <is>
          <t>样本备注</t>
        </is>
      </c>
    </row>
    <row r="34" ht="15.4" customHeight="1" s="246">
      <c r="A34" s="236" t="n">
        <v>1</v>
      </c>
      <c r="B34" s="237" t="inlineStr">
        <is>
          <t>26S2000001</t>
        </is>
      </c>
      <c r="C34" s="238" t="inlineStr">
        <is>
          <t>对照</t>
        </is>
      </c>
      <c r="D34" s="238" t="inlineStr">
        <is>
          <t>空白对照</t>
        </is>
      </c>
      <c r="E34" s="239" t="n">
        <v>5</v>
      </c>
      <c r="F34" s="237" t="inlineStr">
        <is>
          <t>26S2000005</t>
        </is>
      </c>
      <c r="G34" s="238" t="inlineStr">
        <is>
          <t>鼻咽拭子</t>
        </is>
      </c>
      <c r="H34" s="240" t="inlineStr">
        <is>
          <t>/</t>
        </is>
      </c>
    </row>
    <row r="35" ht="16" customHeight="1" s="246">
      <c r="A35" s="236" t="n">
        <v>2</v>
      </c>
      <c r="B35" s="237" t="inlineStr">
        <is>
          <t>26S2000002</t>
        </is>
      </c>
      <c r="C35" s="238" t="inlineStr">
        <is>
          <t>对照</t>
        </is>
      </c>
      <c r="D35" s="219" t="inlineStr">
        <is>
          <t>阴性对照</t>
        </is>
      </c>
      <c r="E35" s="239" t="n">
        <v>6</v>
      </c>
      <c r="F35" s="237" t="inlineStr">
        <is>
          <t>26S2000006</t>
        </is>
      </c>
      <c r="G35" s="238" t="inlineStr">
        <is>
          <t>口咽拭子</t>
        </is>
      </c>
      <c r="H35" s="240" t="inlineStr">
        <is>
          <t>/</t>
        </is>
      </c>
    </row>
    <row r="36">
      <c r="A36" s="236" t="n">
        <v>3</v>
      </c>
      <c r="B36" s="237" t="inlineStr">
        <is>
          <t>26S2000003</t>
        </is>
      </c>
      <c r="C36" s="238" t="inlineStr">
        <is>
          <t>对照</t>
        </is>
      </c>
      <c r="D36" s="219" t="inlineStr">
        <is>
          <t>阳性对照</t>
        </is>
      </c>
      <c r="E36" s="239" t="n">
        <v>7</v>
      </c>
      <c r="F36" s="237" t="inlineStr">
        <is>
          <t>26S2000007</t>
        </is>
      </c>
      <c r="G36" s="238" t="inlineStr">
        <is>
          <t>痰液</t>
        </is>
      </c>
      <c r="H36" s="240" t="inlineStr">
        <is>
          <t>/</t>
        </is>
      </c>
    </row>
    <row r="37">
      <c r="A37" s="236" t="n">
        <v>4</v>
      </c>
      <c r="B37" s="237" t="inlineStr">
        <is>
          <t>26S2000004</t>
        </is>
      </c>
      <c r="C37" s="238" t="inlineStr">
        <is>
          <t>肺泡灌洗液</t>
        </is>
      </c>
      <c r="D37" s="241" t="inlineStr">
        <is>
          <t>/</t>
        </is>
      </c>
      <c r="E37" s="239" t="n">
        <v>8</v>
      </c>
      <c r="F37" s="237" t="inlineStr">
        <is>
          <t>26S2000008</t>
        </is>
      </c>
      <c r="G37" s="238" t="inlineStr">
        <is>
          <t>肺泡灌洗液</t>
        </is>
      </c>
      <c r="H37" s="240" t="inlineStr">
        <is>
          <t>/</t>
        </is>
      </c>
    </row>
    <row r="38" ht="15.75" customHeight="1" s="246">
      <c r="A38" s="242" t="inlineStr">
        <is>
          <t>操作人：</t>
        </is>
      </c>
      <c r="B38" s="266" t="n"/>
      <c r="C38" s="266" t="n"/>
      <c r="D38" s="262" t="n"/>
      <c r="E38" s="244" t="inlineStr">
        <is>
          <t>复核人：</t>
        </is>
      </c>
      <c r="F38" s="266" t="n"/>
      <c r="G38" s="266" t="n"/>
      <c r="H38" s="262" t="n"/>
    </row>
  </sheetData>
  <mergeCells count="50">
    <mergeCell ref="A9:H9"/>
    <mergeCell ref="E12:F12"/>
    <mergeCell ref="A24:B24"/>
    <mergeCell ref="C24:D24"/>
    <mergeCell ref="A15:B15"/>
    <mergeCell ref="A11:B11"/>
    <mergeCell ref="A38:D38"/>
    <mergeCell ref="H6:H7"/>
    <mergeCell ref="E14:F14"/>
    <mergeCell ref="A1:B1"/>
    <mergeCell ref="A29:G29"/>
    <mergeCell ref="A10:D10"/>
    <mergeCell ref="A28:G28"/>
    <mergeCell ref="C20:D20"/>
    <mergeCell ref="E3:H3"/>
    <mergeCell ref="A25:H25"/>
    <mergeCell ref="A31:G31"/>
    <mergeCell ref="A30:G30"/>
    <mergeCell ref="E19:E24"/>
    <mergeCell ref="E13:F13"/>
    <mergeCell ref="C22:D22"/>
    <mergeCell ref="E6:E7"/>
    <mergeCell ref="A18:B18"/>
    <mergeCell ref="A12:B12"/>
    <mergeCell ref="A21:B21"/>
    <mergeCell ref="C21:D21"/>
    <mergeCell ref="E15:F15"/>
    <mergeCell ref="A2:H2"/>
    <mergeCell ref="E11:F11"/>
    <mergeCell ref="A5:B5"/>
    <mergeCell ref="E38:H38"/>
    <mergeCell ref="A14:B14"/>
    <mergeCell ref="A23:B23"/>
    <mergeCell ref="A32:H32"/>
    <mergeCell ref="C23:D23"/>
    <mergeCell ref="E10:H10"/>
    <mergeCell ref="H19:H24"/>
    <mergeCell ref="A22:B22"/>
    <mergeCell ref="A17:H17"/>
    <mergeCell ref="A4:H4"/>
    <mergeCell ref="A20:B20"/>
    <mergeCell ref="B3:D3"/>
    <mergeCell ref="A27:G27"/>
    <mergeCell ref="A19:B19"/>
    <mergeCell ref="C19:D19"/>
    <mergeCell ref="A6:B7"/>
    <mergeCell ref="A26:G26"/>
    <mergeCell ref="A13:B13"/>
    <mergeCell ref="C18:D18"/>
    <mergeCell ref="C1:H1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6"/>
  <sheetViews>
    <sheetView zoomScale="81" zoomScaleNormal="81" workbookViewId="0">
      <selection activeCell="O22" sqref="O22"/>
    </sheetView>
  </sheetViews>
  <sheetFormatPr baseColWidth="8" defaultColWidth="20.5" defaultRowHeight="14"/>
  <cols>
    <col width="15.75" customWidth="1" style="173" min="1" max="1"/>
    <col width="12.25" customWidth="1" style="173" min="2" max="2"/>
    <col width="14.1916666666667" customWidth="1" style="173" min="3" max="3"/>
    <col width="15.9166666666667" customWidth="1" style="173" min="4" max="4"/>
    <col width="12.6416666666667" customWidth="1" style="173" min="5" max="5"/>
    <col width="13.1583333333333" customWidth="1" style="173" min="6" max="6"/>
    <col width="18.4083333333333" customWidth="1" style="173" min="7" max="7"/>
    <col width="14.0833333333333" customWidth="1" style="173" min="8" max="8"/>
    <col width="11.5833333333333" customWidth="1" style="173" min="9" max="9"/>
    <col width="12.3833333333333" customWidth="1" style="173" min="10" max="10"/>
    <col width="12.1666666666667" customWidth="1" style="173" min="11" max="11"/>
    <col width="12" customWidth="1" style="173" min="12" max="12"/>
    <col width="6.75" customWidth="1" style="173" min="13" max="13"/>
    <col width="20.5" customWidth="1" style="173" min="14" max="16384"/>
  </cols>
  <sheetData>
    <row r="1" ht="48.4" customHeight="1" s="246">
      <c r="A1" s="133" t="n"/>
      <c r="B1" s="254" t="n"/>
      <c r="C1" s="134" t="n"/>
      <c r="D1" s="261" t="n"/>
      <c r="E1" s="261" t="n"/>
      <c r="F1" s="261" t="n"/>
      <c r="G1" s="261" t="n"/>
      <c r="H1" s="261" t="n"/>
      <c r="I1" s="261" t="n"/>
      <c r="J1" s="261" t="n"/>
      <c r="K1" s="261" t="n"/>
      <c r="L1" s="254" t="n"/>
    </row>
    <row r="2" ht="40" customHeight="1" s="246">
      <c r="A2" s="135" t="inlineStr">
        <is>
          <t>联合实验室GenSIRO-48 PTseq病原微生物高通量基因检测样本制备任务单</t>
        </is>
      </c>
      <c r="B2" s="261" t="n"/>
      <c r="C2" s="261" t="n"/>
      <c r="D2" s="261" t="n"/>
      <c r="E2" s="261" t="n"/>
      <c r="F2" s="261" t="n"/>
      <c r="G2" s="261" t="n"/>
      <c r="H2" s="261" t="n"/>
      <c r="I2" s="261" t="n"/>
      <c r="J2" s="261" t="n"/>
      <c r="K2" s="261" t="n"/>
      <c r="L2" s="254" t="n"/>
    </row>
    <row r="3">
      <c r="A3" s="136" t="inlineStr">
        <is>
          <t>提取日期：</t>
        </is>
      </c>
      <c r="B3" s="137">
        <f>TODAY()</f>
        <v/>
      </c>
      <c r="C3" s="261" t="n"/>
      <c r="D3" s="261" t="n"/>
      <c r="E3" s="261" t="n"/>
      <c r="F3" s="261" t="n"/>
      <c r="G3" s="254" t="n"/>
      <c r="H3" s="136" t="inlineStr">
        <is>
          <t>试剂盒批次：</t>
        </is>
      </c>
      <c r="I3" s="139" t="n"/>
      <c r="J3" s="261" t="n"/>
      <c r="K3" s="261" t="n"/>
      <c r="L3" s="254" t="n"/>
    </row>
    <row r="4" ht="16.5" customHeight="1" s="246">
      <c r="A4" s="122" t="inlineStr">
        <is>
          <t>试剂分装（◎为实验记录所用）</t>
        </is>
      </c>
      <c r="B4" s="261" t="n"/>
      <c r="C4" s="261" t="n"/>
      <c r="D4" s="261" t="n"/>
      <c r="E4" s="261" t="n"/>
      <c r="F4" s="261" t="n"/>
      <c r="G4" s="261" t="n"/>
      <c r="H4" s="261" t="n"/>
      <c r="I4" s="261" t="n"/>
      <c r="J4" s="261" t="n"/>
      <c r="K4" s="261" t="n"/>
      <c r="L4" s="254" t="n"/>
    </row>
    <row r="5">
      <c r="A5" s="140" t="inlineStr">
        <is>
          <t>提取试剂</t>
        </is>
      </c>
      <c r="B5" s="261" t="n"/>
      <c r="C5" s="261" t="n"/>
      <c r="D5" s="261" t="n"/>
      <c r="E5" s="261" t="n"/>
      <c r="F5" s="261" t="n"/>
      <c r="G5" s="154" t="inlineStr">
        <is>
          <t>建库试剂</t>
        </is>
      </c>
      <c r="H5" s="261" t="n"/>
      <c r="I5" s="261" t="n"/>
      <c r="J5" s="261" t="n"/>
      <c r="K5" s="261" t="n"/>
      <c r="L5" s="254" t="n"/>
    </row>
    <row r="6" ht="28" customHeight="1" s="246">
      <c r="A6" s="145" t="inlineStr">
        <is>
          <t>试剂名称</t>
        </is>
      </c>
      <c r="B6" s="145" t="inlineStr">
        <is>
          <t>耗材</t>
        </is>
      </c>
      <c r="C6" s="146" t="inlineStr">
        <is>
          <t>样本总数
◎5-8例</t>
        </is>
      </c>
      <c r="D6" s="146" t="inlineStr">
        <is>
          <t>样本总数
◎9-16例</t>
        </is>
      </c>
      <c r="E6" s="146" t="inlineStr">
        <is>
          <t>样本总数
◎17-32例</t>
        </is>
      </c>
      <c r="F6" s="146" t="inlineStr">
        <is>
          <t>样本总数
◎33-48例</t>
        </is>
      </c>
      <c r="G6" s="146" t="inlineStr">
        <is>
          <t>试剂</t>
        </is>
      </c>
      <c r="H6" s="147" t="inlineStr">
        <is>
          <t>耗材</t>
        </is>
      </c>
      <c r="I6" s="146" t="inlineStr">
        <is>
          <t>样本总数
◎5-8例</t>
        </is>
      </c>
      <c r="J6" s="146" t="inlineStr">
        <is>
          <t>样本总数
◎9-16例</t>
        </is>
      </c>
      <c r="K6" s="146" t="inlineStr">
        <is>
          <t>样本总数
◎17-32例</t>
        </is>
      </c>
      <c r="L6" s="146" t="inlineStr">
        <is>
          <t>样本总数
◎33-48例</t>
        </is>
      </c>
    </row>
    <row r="7">
      <c r="A7" s="148" t="inlineStr">
        <is>
          <t>异丙醇</t>
        </is>
      </c>
      <c r="B7" s="162" t="inlineStr">
        <is>
          <t>50mL试剂槽</t>
        </is>
      </c>
      <c r="C7" s="162" t="inlineStr">
        <is>
          <t>◎5mL</t>
        </is>
      </c>
      <c r="D7" s="162" t="inlineStr">
        <is>
          <t>◎7mL</t>
        </is>
      </c>
      <c r="E7" s="162" t="inlineStr">
        <is>
          <t>◎11mL</t>
        </is>
      </c>
      <c r="F7" s="150" t="inlineStr">
        <is>
          <t>◎15mL</t>
        </is>
      </c>
      <c r="G7" s="150" t="inlineStr">
        <is>
          <t>T1 cDNA引物</t>
        </is>
      </c>
      <c r="H7" s="150" t="inlineStr">
        <is>
          <t>0.5mL螺旋管</t>
        </is>
      </c>
      <c r="I7" s="151" t="inlineStr">
        <is>
          <t>◎30μL</t>
        </is>
      </c>
      <c r="J7" s="150" t="inlineStr">
        <is>
          <t>◎40μL</t>
        </is>
      </c>
      <c r="K7" s="150" t="inlineStr">
        <is>
          <t>◎70μL</t>
        </is>
      </c>
      <c r="L7" s="151" t="inlineStr">
        <is>
          <t>◎110μL</t>
        </is>
      </c>
    </row>
    <row r="8">
      <c r="A8" s="148" t="inlineStr">
        <is>
          <t>洗液A</t>
        </is>
      </c>
      <c r="B8" s="162" t="inlineStr">
        <is>
          <t>50mL试剂槽</t>
        </is>
      </c>
      <c r="C8" s="162" t="inlineStr">
        <is>
          <t>◎7mL</t>
        </is>
      </c>
      <c r="D8" s="162" t="inlineStr">
        <is>
          <t>◎11mL</t>
        </is>
      </c>
      <c r="E8" s="162" t="inlineStr">
        <is>
          <t>◎19mL</t>
        </is>
      </c>
      <c r="F8" s="150" t="inlineStr">
        <is>
          <t>◎27mL</t>
        </is>
      </c>
      <c r="G8" s="150" t="inlineStr">
        <is>
          <t>T2 cDNA缓冲液</t>
        </is>
      </c>
      <c r="H8" s="150" t="inlineStr">
        <is>
          <t>0.5mL螺旋管</t>
        </is>
      </c>
      <c r="I8" s="150" t="inlineStr">
        <is>
          <t>◎30μL</t>
        </is>
      </c>
      <c r="J8" s="150" t="inlineStr">
        <is>
          <t>◎50μL</t>
        </is>
      </c>
      <c r="K8" s="151" t="inlineStr">
        <is>
          <t>◎200μL</t>
        </is>
      </c>
      <c r="L8" s="151" t="inlineStr">
        <is>
          <t>◎240μL</t>
        </is>
      </c>
    </row>
    <row r="9">
      <c r="A9" s="152" t="inlineStr">
        <is>
          <t>清洗液B-1</t>
        </is>
      </c>
      <c r="B9" s="162" t="inlineStr">
        <is>
          <t>50mL试剂槽</t>
        </is>
      </c>
      <c r="C9" s="162" t="inlineStr">
        <is>
          <t>◎8mL</t>
        </is>
      </c>
      <c r="D9" s="162" t="inlineStr">
        <is>
          <t>◎13mL</t>
        </is>
      </c>
      <c r="E9" s="162" t="inlineStr">
        <is>
          <t>◎23mL</t>
        </is>
      </c>
      <c r="F9" s="150" t="inlineStr">
        <is>
          <t>◎32mL</t>
        </is>
      </c>
      <c r="G9" s="150" t="inlineStr">
        <is>
          <t>T3 cDNA酶</t>
        </is>
      </c>
      <c r="H9" s="150" t="inlineStr">
        <is>
          <t>0.5mL螺旋管</t>
        </is>
      </c>
      <c r="I9" s="150" t="inlineStr">
        <is>
          <t>◎30μL</t>
        </is>
      </c>
      <c r="J9" s="150" t="inlineStr">
        <is>
          <t>◎50μL</t>
        </is>
      </c>
      <c r="K9" s="151" t="inlineStr">
        <is>
          <t>◎200μL</t>
        </is>
      </c>
      <c r="L9" s="151" t="inlineStr">
        <is>
          <t>◎240μL</t>
        </is>
      </c>
    </row>
    <row r="10">
      <c r="A10" s="152" t="inlineStr">
        <is>
          <t>清洗液B-2</t>
        </is>
      </c>
      <c r="B10" s="162" t="inlineStr">
        <is>
          <t>50mL试剂槽</t>
        </is>
      </c>
      <c r="C10" s="162" t="inlineStr">
        <is>
          <t>◎8mL</t>
        </is>
      </c>
      <c r="D10" s="162" t="inlineStr">
        <is>
          <t>◎13mL</t>
        </is>
      </c>
      <c r="E10" s="162" t="inlineStr">
        <is>
          <t>◎23mL</t>
        </is>
      </c>
      <c r="F10" s="150" t="inlineStr">
        <is>
          <t>◎32mL</t>
        </is>
      </c>
      <c r="G10" s="150" t="inlineStr">
        <is>
          <t>T4 TA缓冲液</t>
        </is>
      </c>
      <c r="H10" s="150" t="inlineStr">
        <is>
          <t>2mL螺旋管</t>
        </is>
      </c>
      <c r="I10" s="150" t="inlineStr">
        <is>
          <t>◎60μL</t>
        </is>
      </c>
      <c r="J10" s="150" t="inlineStr">
        <is>
          <t>◎100μL</t>
        </is>
      </c>
      <c r="K10" s="151" t="inlineStr">
        <is>
          <t>◎290μL</t>
        </is>
      </c>
      <c r="L10" s="151" t="inlineStr">
        <is>
          <t>◎390μL</t>
        </is>
      </c>
    </row>
    <row r="11">
      <c r="A11" s="153" t="inlineStr">
        <is>
          <t>提取磁珠</t>
        </is>
      </c>
      <c r="B11" s="162" t="inlineStr">
        <is>
          <t>8mL管</t>
        </is>
      </c>
      <c r="C11" s="162" t="inlineStr">
        <is>
          <t>◎230μL</t>
        </is>
      </c>
      <c r="D11" s="162" t="inlineStr">
        <is>
          <t>◎450μL</t>
        </is>
      </c>
      <c r="E11" s="162" t="inlineStr">
        <is>
          <t>◎860μL</t>
        </is>
      </c>
      <c r="F11" s="150" t="inlineStr">
        <is>
          <t>◎1300μL</t>
        </is>
      </c>
      <c r="G11" s="150" t="inlineStr">
        <is>
          <t>T5 TA酶</t>
        </is>
      </c>
      <c r="H11" s="150" t="inlineStr">
        <is>
          <t>0.5mL螺旋管</t>
        </is>
      </c>
      <c r="I11" s="150" t="inlineStr">
        <is>
          <t>◎40μL</t>
        </is>
      </c>
      <c r="J11" s="151" t="inlineStr">
        <is>
          <t>◎70μL</t>
        </is>
      </c>
      <c r="K11" s="151" t="inlineStr">
        <is>
          <t>◎180μL</t>
        </is>
      </c>
      <c r="L11" s="151" t="inlineStr">
        <is>
          <t>◎240μL</t>
        </is>
      </c>
    </row>
    <row r="12">
      <c r="A12" s="148" t="inlineStr">
        <is>
          <t>无核酸酶水</t>
        </is>
      </c>
      <c r="B12" s="162" t="inlineStr">
        <is>
          <t>8mL管</t>
        </is>
      </c>
      <c r="C12" s="162" t="inlineStr">
        <is>
          <t>◎1040μL</t>
        </is>
      </c>
      <c r="D12" s="162" t="inlineStr">
        <is>
          <t>◎1840μL</t>
        </is>
      </c>
      <c r="E12" s="162" t="inlineStr">
        <is>
          <t>◎3360μL</t>
        </is>
      </c>
      <c r="F12" s="150" t="inlineStr">
        <is>
          <t>◎4880μL</t>
        </is>
      </c>
      <c r="G12" s="150" t="inlineStr">
        <is>
          <t>T7 PCR Mix</t>
        </is>
      </c>
      <c r="H12" s="150" t="inlineStr">
        <is>
          <t>2mL螺旋管</t>
        </is>
      </c>
      <c r="I12" s="151" t="inlineStr">
        <is>
          <t>◎200μL</t>
        </is>
      </c>
      <c r="J12" s="151" t="inlineStr">
        <is>
          <t>◎360μL</t>
        </is>
      </c>
      <c r="K12" s="150" t="inlineStr">
        <is>
          <t>◎970μL</t>
        </is>
      </c>
      <c r="L12" s="150" t="inlineStr">
        <is>
          <t>◎1370μL</t>
        </is>
      </c>
    </row>
    <row r="13">
      <c r="A13" s="162" t="n"/>
      <c r="B13" s="162" t="n"/>
      <c r="C13" s="162" t="n"/>
      <c r="D13" s="162" t="n"/>
      <c r="E13" s="162" t="n"/>
      <c r="F13" s="150" t="n"/>
      <c r="G13" s="150" t="inlineStr">
        <is>
          <t>T8 UDG酶</t>
        </is>
      </c>
      <c r="H13" s="150" t="inlineStr">
        <is>
          <t>2mL螺旋管</t>
        </is>
      </c>
      <c r="I13" s="150" t="inlineStr">
        <is>
          <t>◎9μL</t>
        </is>
      </c>
      <c r="J13" s="150" t="inlineStr">
        <is>
          <t>◎17μL</t>
        </is>
      </c>
      <c r="K13" s="150" t="inlineStr">
        <is>
          <t>◎48μL</t>
        </is>
      </c>
      <c r="L13" s="150" t="inlineStr">
        <is>
          <t>◎68μL</t>
        </is>
      </c>
    </row>
    <row r="14">
      <c r="A14" s="162" t="n"/>
      <c r="B14" s="162" t="n"/>
      <c r="C14" s="162" t="n"/>
      <c r="D14" s="162" t="n"/>
      <c r="E14" s="162" t="n"/>
      <c r="F14" s="150" t="n"/>
      <c r="G14" s="173" t="inlineStr">
        <is>
          <t>T2 溶解液</t>
        </is>
      </c>
      <c r="H14" s="150" t="inlineStr">
        <is>
          <t>8mL管</t>
        </is>
      </c>
      <c r="I14" s="150" t="inlineStr">
        <is>
          <t>◎1500μL</t>
        </is>
      </c>
      <c r="J14" s="150" t="inlineStr">
        <is>
          <t>◎2200μL</t>
        </is>
      </c>
      <c r="K14" s="150" t="inlineStr">
        <is>
          <t>◎3880μL</t>
        </is>
      </c>
      <c r="L14" s="151" t="inlineStr">
        <is>
          <t>◎5360μL</t>
        </is>
      </c>
    </row>
    <row r="15">
      <c r="A15" s="162" t="n"/>
      <c r="B15" s="162" t="n"/>
      <c r="C15" s="162" t="n"/>
      <c r="D15" s="162" t="n"/>
      <c r="E15" s="162" t="n"/>
      <c r="F15" s="150" t="n"/>
      <c r="G15" s="150" t="inlineStr">
        <is>
          <t>T1磁珠</t>
        </is>
      </c>
      <c r="H15" s="150" t="inlineStr">
        <is>
          <t>8mL管</t>
        </is>
      </c>
      <c r="I15" s="150" t="inlineStr">
        <is>
          <t>◎1400μL</t>
        </is>
      </c>
      <c r="J15" s="150" t="inlineStr">
        <is>
          <t>◎2400μL</t>
        </is>
      </c>
      <c r="K15" s="150" t="inlineStr">
        <is>
          <t>◎4400μL</t>
        </is>
      </c>
      <c r="L15" s="150" t="inlineStr">
        <is>
          <t>◎6400μL</t>
        </is>
      </c>
    </row>
    <row r="16">
      <c r="A16" s="162" t="n"/>
      <c r="B16" s="162" t="n"/>
      <c r="C16" s="162" t="n"/>
      <c r="D16" s="162" t="n"/>
      <c r="E16" s="162" t="n"/>
      <c r="F16" s="150" t="n"/>
      <c r="G16" s="150" t="inlineStr">
        <is>
          <t>矿物油</t>
        </is>
      </c>
      <c r="H16" s="150" t="inlineStr">
        <is>
          <t>8mL管</t>
        </is>
      </c>
      <c r="I16" s="150" t="inlineStr">
        <is>
          <t>◎880μL</t>
        </is>
      </c>
      <c r="J16" s="150" t="inlineStr">
        <is>
          <t>◎1440μL</t>
        </is>
      </c>
      <c r="K16" s="150" t="inlineStr">
        <is>
          <t>◎2240μL</t>
        </is>
      </c>
      <c r="L16" s="150" t="inlineStr">
        <is>
          <t>◎3200μL</t>
        </is>
      </c>
    </row>
    <row r="17" ht="15" customHeight="1" s="246">
      <c r="A17" s="154" t="n"/>
      <c r="B17" s="154" t="n"/>
      <c r="C17" s="154" t="n"/>
      <c r="D17" s="154" t="n"/>
      <c r="E17" s="154" t="n"/>
      <c r="F17" s="155" t="n"/>
      <c r="G17" s="150" t="inlineStr">
        <is>
          <t>80%乙醇</t>
        </is>
      </c>
      <c r="H17" s="162" t="inlineStr">
        <is>
          <t>50mL试剂槽</t>
        </is>
      </c>
      <c r="I17" s="150" t="inlineStr">
        <is>
          <t>◎11000μL</t>
        </is>
      </c>
      <c r="J17" s="150" t="inlineStr">
        <is>
          <t>◎18800μL</t>
        </is>
      </c>
      <c r="K17" s="150" t="inlineStr">
        <is>
          <t>◎34400μL</t>
        </is>
      </c>
      <c r="L17" s="150" t="inlineStr">
        <is>
          <t>◎50000μL</t>
        </is>
      </c>
    </row>
    <row r="18" s="246">
      <c r="A18" s="162" t="n"/>
      <c r="B18" s="162" t="n"/>
      <c r="C18" s="162" t="n"/>
      <c r="D18" s="162" t="n"/>
      <c r="E18" s="162" t="n"/>
      <c r="F18" s="150" t="n"/>
      <c r="G18" s="150" t="inlineStr">
        <is>
          <t>Qubit染液（G99、200、2000全流程）</t>
        </is>
      </c>
      <c r="H18" s="162" t="inlineStr">
        <is>
          <t>50mL避光试剂槽</t>
        </is>
      </c>
      <c r="I18" s="150" t="inlineStr">
        <is>
          <t>◎9mL</t>
        </is>
      </c>
      <c r="J18" s="150" t="inlineStr">
        <is>
          <t>◎10mL</t>
        </is>
      </c>
      <c r="K18" s="150" t="inlineStr">
        <is>
          <t>◎14mL</t>
        </is>
      </c>
      <c r="L18" s="150" t="inlineStr">
        <is>
          <t>◎17mL</t>
        </is>
      </c>
    </row>
    <row r="19" s="246">
      <c r="A19" s="162" t="n"/>
      <c r="B19" s="162" t="n"/>
      <c r="C19" s="162" t="n"/>
      <c r="D19" s="162" t="n"/>
      <c r="E19" s="162" t="n"/>
      <c r="F19" s="150" t="n"/>
      <c r="G19" s="150" t="inlineStr">
        <is>
          <t>Qubit染液（E25全流程）</t>
        </is>
      </c>
      <c r="H19" s="162" t="inlineStr">
        <is>
          <t>50mL避光试剂槽</t>
        </is>
      </c>
      <c r="I19" s="150" t="inlineStr">
        <is>
          <t>◎10mL</t>
        </is>
      </c>
      <c r="J19" s="150" t="inlineStr">
        <is>
          <t>◎14mL</t>
        </is>
      </c>
      <c r="K19" s="150" t="inlineStr">
        <is>
          <t>◎21mL</t>
        </is>
      </c>
      <c r="L19" s="150" t="inlineStr">
        <is>
          <t>◎/</t>
        </is>
      </c>
    </row>
    <row r="20" s="246">
      <c r="A20" s="162" t="n"/>
      <c r="B20" s="162" t="n"/>
      <c r="C20" s="162" t="n"/>
      <c r="D20" s="162" t="n"/>
      <c r="E20" s="162" t="n"/>
      <c r="F20" s="150" t="n"/>
      <c r="G20" s="150" t="inlineStr">
        <is>
          <t>无核酸酶水（E25全流程）</t>
        </is>
      </c>
      <c r="H20" s="162" t="inlineStr">
        <is>
          <t>8mL管</t>
        </is>
      </c>
      <c r="I20" s="150" t="inlineStr">
        <is>
          <t>◎540μL</t>
        </is>
      </c>
      <c r="J20" s="150" t="inlineStr">
        <is>
          <t>◎760μL</t>
        </is>
      </c>
      <c r="K20" s="150" t="inlineStr">
        <is>
          <t>◎1190μL</t>
        </is>
      </c>
      <c r="L20" s="150" t="inlineStr">
        <is>
          <t>◎/</t>
        </is>
      </c>
    </row>
    <row r="21">
      <c r="A21" s="162" t="n"/>
      <c r="B21" s="162" t="n"/>
      <c r="C21" s="162" t="n"/>
      <c r="D21" s="162" t="n"/>
      <c r="E21" s="162" t="n"/>
      <c r="F21" s="150" t="n"/>
      <c r="G21" s="150" t="inlineStr">
        <is>
          <t>T12空白对照(B:个数)</t>
        </is>
      </c>
      <c r="H21" s="150" t="inlineStr">
        <is>
          <t>0.5mL螺旋管</t>
        </is>
      </c>
      <c r="I21" s="150" t="inlineStr">
        <is>
          <t>◎14*B+6μL</t>
        </is>
      </c>
      <c r="J21" s="150" t="inlineStr">
        <is>
          <t>◎14*B+6μL</t>
        </is>
      </c>
      <c r="K21" s="150" t="inlineStr">
        <is>
          <t>◎14*B+6μL</t>
        </is>
      </c>
      <c r="L21" s="150" t="inlineStr">
        <is>
          <t>◎14*B+6μL</t>
        </is>
      </c>
    </row>
    <row r="22">
      <c r="A22" s="154" t="inlineStr">
        <is>
          <t>DNBSEQ-G99测序试剂分装</t>
        </is>
      </c>
      <c r="B22" s="261" t="n"/>
      <c r="C22" s="254" t="n"/>
      <c r="D22" s="154" t="inlineStr">
        <is>
          <t>DNBSEQ-E25测序试剂分装</t>
        </is>
      </c>
      <c r="E22" s="261" t="n"/>
      <c r="F22" s="254" t="n"/>
      <c r="G22" s="142" t="inlineStr">
        <is>
          <t>MGISEQ-200/2000测序试剂分装</t>
        </is>
      </c>
      <c r="H22" s="261" t="n"/>
      <c r="I22" s="261" t="n"/>
      <c r="J22" s="261" t="n"/>
      <c r="K22" s="261" t="n"/>
      <c r="L22" s="261" t="n"/>
    </row>
    <row r="23" ht="28" customHeight="1" s="246">
      <c r="A23" s="156" t="inlineStr">
        <is>
          <t>试剂名称</t>
        </is>
      </c>
      <c r="B23" s="156" t="inlineStr">
        <is>
          <t>耗材</t>
        </is>
      </c>
      <c r="C23" s="146" t="inlineStr">
        <is>
          <t>样本总数
◎5~48例</t>
        </is>
      </c>
      <c r="D23" s="156" t="inlineStr">
        <is>
          <t>试剂名称</t>
        </is>
      </c>
      <c r="E23" s="156" t="inlineStr">
        <is>
          <t>耗材</t>
        </is>
      </c>
      <c r="F23" s="146" t="inlineStr">
        <is>
          <t>样本总数
◎5-32例</t>
        </is>
      </c>
      <c r="G23" s="156" t="inlineStr">
        <is>
          <t>试剂名称</t>
        </is>
      </c>
      <c r="H23" s="156" t="inlineStr">
        <is>
          <t>耗材</t>
        </is>
      </c>
      <c r="I23" s="146" t="inlineStr">
        <is>
          <t>样本总数
◎5-8例</t>
        </is>
      </c>
      <c r="J23" s="146" t="inlineStr">
        <is>
          <t>样本总数
◎9-16例</t>
        </is>
      </c>
      <c r="K23" s="146" t="inlineStr">
        <is>
          <t>样本总数
◎17-32例</t>
        </is>
      </c>
      <c r="L23" s="146" t="inlineStr">
        <is>
          <t>样本总数
◎33-48例</t>
        </is>
      </c>
    </row>
    <row r="24" ht="29" customHeight="1" s="246">
      <c r="A24" s="155" t="inlineStr">
        <is>
          <t>环化反应缓冲液</t>
        </is>
      </c>
      <c r="B24" s="157" t="inlineStr">
        <is>
          <t>0.5mL螺旋管</t>
        </is>
      </c>
      <c r="C24" s="155" t="inlineStr">
        <is>
          <t>◎30μL</t>
        </is>
      </c>
      <c r="D24" s="155" t="inlineStr">
        <is>
          <t>DNB聚合酶混合液I（OS）</t>
        </is>
      </c>
      <c r="E24" s="157" t="inlineStr">
        <is>
          <t>0.5mL螺旋管</t>
        </is>
      </c>
      <c r="F24" s="155" t="inlineStr">
        <is>
          <t>◎60μL</t>
        </is>
      </c>
      <c r="G24" s="155" t="inlineStr">
        <is>
          <t>环化反应缓冲液</t>
        </is>
      </c>
      <c r="H24" s="157" t="inlineStr">
        <is>
          <t>0.5mL螺旋管</t>
        </is>
      </c>
      <c r="I24" s="155" t="inlineStr">
        <is>
          <t>◎30μL</t>
        </is>
      </c>
      <c r="J24" s="155" t="inlineStr">
        <is>
          <t>◎30μL</t>
        </is>
      </c>
      <c r="K24" s="155" t="inlineStr">
        <is>
          <t>◎30μL</t>
        </is>
      </c>
      <c r="L24" s="155" t="inlineStr">
        <is>
          <t>◎30μL</t>
        </is>
      </c>
    </row>
    <row r="25" ht="27" customHeight="1" s="246">
      <c r="A25" s="155" t="inlineStr">
        <is>
          <t>环化反应酶</t>
        </is>
      </c>
      <c r="B25" s="157" t="inlineStr">
        <is>
          <t>0.5mL螺旋管</t>
        </is>
      </c>
      <c r="C25" s="155" t="inlineStr">
        <is>
          <t>◎1μL</t>
        </is>
      </c>
      <c r="D25" s="155" t="inlineStr">
        <is>
          <t>DNB聚合酶混合液II（OS）</t>
        </is>
      </c>
      <c r="E25" s="157" t="inlineStr">
        <is>
          <t>0.5mL螺旋管</t>
        </is>
      </c>
      <c r="F25" s="155" t="inlineStr">
        <is>
          <t>◎15μL</t>
        </is>
      </c>
      <c r="G25" s="155" t="inlineStr">
        <is>
          <t>环化反应酶</t>
        </is>
      </c>
      <c r="H25" s="157" t="inlineStr">
        <is>
          <t>0.5mL螺旋管</t>
        </is>
      </c>
      <c r="I25" s="155" t="inlineStr">
        <is>
          <t>◎1μL</t>
        </is>
      </c>
      <c r="J25" s="155" t="inlineStr">
        <is>
          <t>◎1μL</t>
        </is>
      </c>
      <c r="K25" s="155" t="inlineStr">
        <is>
          <t>◎1μL</t>
        </is>
      </c>
      <c r="L25" s="155" t="inlineStr">
        <is>
          <t>◎1μL</t>
        </is>
      </c>
    </row>
    <row r="26" ht="28" customHeight="1" s="246">
      <c r="A26" s="155" t="inlineStr">
        <is>
          <t>DNB聚合酶混合液I</t>
        </is>
      </c>
      <c r="B26" s="157" t="inlineStr">
        <is>
          <t>0.5mL螺旋管</t>
        </is>
      </c>
      <c r="C26" s="155" t="inlineStr">
        <is>
          <t>◎36μL</t>
        </is>
      </c>
      <c r="D26" s="155" t="inlineStr">
        <is>
          <t>DNB制备缓冲液（SB）</t>
        </is>
      </c>
      <c r="E26" s="157" t="inlineStr">
        <is>
          <t>0.5mL螺旋管</t>
        </is>
      </c>
      <c r="F26" s="155" t="inlineStr">
        <is>
          <t>◎40μL</t>
        </is>
      </c>
      <c r="G26" s="155" t="inlineStr">
        <is>
          <t>DNB聚合酶混合液I</t>
        </is>
      </c>
      <c r="H26" s="157" t="inlineStr">
        <is>
          <t>0.5mL螺旋管</t>
        </is>
      </c>
      <c r="I26" s="155" t="inlineStr">
        <is>
          <t>◎70μL</t>
        </is>
      </c>
      <c r="J26" s="155" t="inlineStr">
        <is>
          <t>◎70μL</t>
        </is>
      </c>
      <c r="K26" s="155" t="inlineStr">
        <is>
          <t>◎70μL</t>
        </is>
      </c>
      <c r="L26" s="155" t="inlineStr">
        <is>
          <t>◎70μL</t>
        </is>
      </c>
    </row>
    <row r="27" ht="28" customHeight="1" s="246">
      <c r="A27" s="155" t="inlineStr">
        <is>
          <t>DNB聚合酶混合液II(LC)</t>
        </is>
      </c>
      <c r="B27" s="157" t="inlineStr">
        <is>
          <t>0.5mL螺旋管</t>
        </is>
      </c>
      <c r="C27" s="155" t="inlineStr">
        <is>
          <t>◎3μL</t>
        </is>
      </c>
      <c r="D27" s="155" t="inlineStr">
        <is>
          <t>DNB终止缓冲液</t>
        </is>
      </c>
      <c r="E27" s="157" t="inlineStr">
        <is>
          <t>0.5mL螺旋管</t>
        </is>
      </c>
      <c r="F27" s="155" t="inlineStr">
        <is>
          <t>◎40μL</t>
        </is>
      </c>
      <c r="G27" s="155" t="inlineStr">
        <is>
          <t>DNB聚合酶混合液II(LC)</t>
        </is>
      </c>
      <c r="H27" s="157" t="inlineStr">
        <is>
          <t>0.5mL螺旋管</t>
        </is>
      </c>
      <c r="I27" s="155" t="inlineStr">
        <is>
          <t>◎4μL</t>
        </is>
      </c>
      <c r="J27" s="155" t="inlineStr">
        <is>
          <t>◎4μL</t>
        </is>
      </c>
      <c r="K27" s="155" t="inlineStr">
        <is>
          <t>◎4μL</t>
        </is>
      </c>
      <c r="L27" s="155" t="inlineStr">
        <is>
          <t>◎4μL</t>
        </is>
      </c>
    </row>
    <row r="28" ht="28" customHeight="1" s="246">
      <c r="A28" s="155" t="inlineStr">
        <is>
          <t>DNB制备缓冲液(SB)</t>
        </is>
      </c>
      <c r="B28" s="157" t="inlineStr">
        <is>
          <t>0.5mL螺旋管</t>
        </is>
      </c>
      <c r="C28" s="155" t="inlineStr">
        <is>
          <t>◎20μL</t>
        </is>
      </c>
      <c r="D28" s="155" t="n"/>
      <c r="E28" s="157" t="n"/>
      <c r="F28" s="155" t="n"/>
      <c r="G28" s="155" t="inlineStr">
        <is>
          <t>DNB制备缓冲液(SB)</t>
        </is>
      </c>
      <c r="H28" s="157" t="inlineStr">
        <is>
          <t>0.5mL螺旋管</t>
        </is>
      </c>
      <c r="I28" s="155" t="inlineStr">
        <is>
          <t>◎40μL</t>
        </is>
      </c>
      <c r="J28" s="155" t="inlineStr">
        <is>
          <t>◎40μL</t>
        </is>
      </c>
      <c r="K28" s="155" t="inlineStr">
        <is>
          <t>◎40μL</t>
        </is>
      </c>
      <c r="L28" s="155" t="inlineStr">
        <is>
          <t>◎40μL</t>
        </is>
      </c>
    </row>
    <row r="29" ht="27" customHeight="1" s="246">
      <c r="A29" s="155" t="inlineStr">
        <is>
          <t>DNB终止缓冲液</t>
        </is>
      </c>
      <c r="B29" s="157" t="inlineStr">
        <is>
          <t>0.5mL螺旋管</t>
        </is>
      </c>
      <c r="C29" s="155" t="inlineStr">
        <is>
          <t>◎20μL</t>
        </is>
      </c>
      <c r="D29" s="155" t="n"/>
      <c r="E29" s="157" t="n"/>
      <c r="F29" s="155" t="n"/>
      <c r="G29" s="155" t="inlineStr">
        <is>
          <t>DNB终止缓冲液</t>
        </is>
      </c>
      <c r="H29" s="157" t="inlineStr">
        <is>
          <t>0.5mL螺旋管</t>
        </is>
      </c>
      <c r="I29" s="155" t="inlineStr">
        <is>
          <t>◎40μL</t>
        </is>
      </c>
      <c r="J29" s="155" t="inlineStr">
        <is>
          <t>◎40μL</t>
        </is>
      </c>
      <c r="K29" s="155" t="inlineStr">
        <is>
          <t>◎40μL</t>
        </is>
      </c>
      <c r="L29" s="155" t="inlineStr">
        <is>
          <t>◎40μL</t>
        </is>
      </c>
    </row>
    <row r="30">
      <c r="A30" s="154" t="inlineStr">
        <is>
          <t>投料</t>
        </is>
      </c>
      <c r="B30" s="261" t="n"/>
      <c r="C30" s="261" t="n"/>
      <c r="D30" s="261" t="n"/>
      <c r="E30" s="261" t="n"/>
      <c r="F30" s="261" t="n"/>
      <c r="G30" s="261" t="n"/>
      <c r="H30" s="261" t="n"/>
      <c r="I30" s="261" t="n"/>
      <c r="J30" s="261" t="n"/>
      <c r="K30" s="261" t="n"/>
      <c r="L30" s="254" t="n"/>
    </row>
    <row r="31">
      <c r="A31" s="154" t="inlineStr">
        <is>
          <t>提取耗材</t>
        </is>
      </c>
      <c r="B31" s="261" t="n"/>
      <c r="C31" s="254" t="n"/>
      <c r="D31" s="154" t="inlineStr">
        <is>
          <t>建库耗材</t>
        </is>
      </c>
      <c r="E31" s="261" t="n"/>
      <c r="F31" s="261" t="n"/>
      <c r="G31" s="254" t="n"/>
      <c r="H31" s="122" t="inlineStr">
        <is>
          <t>操作注意事项</t>
        </is>
      </c>
      <c r="I31" s="261" t="n"/>
      <c r="J31" s="261" t="n"/>
      <c r="K31" s="261" t="n"/>
      <c r="L31" s="254" t="n"/>
    </row>
    <row r="32">
      <c r="A32" s="162" t="inlineStr">
        <is>
          <t>耗材名</t>
        </is>
      </c>
      <c r="B32" s="162" t="inlineStr">
        <is>
          <t>数量</t>
        </is>
      </c>
      <c r="C32" s="163" t="inlineStr">
        <is>
          <t>确认</t>
        </is>
      </c>
      <c r="D32" s="164" t="inlineStr">
        <is>
          <t>耗材名</t>
        </is>
      </c>
      <c r="E32" s="254" t="n"/>
      <c r="F32" s="165" t="inlineStr">
        <is>
          <t>数量</t>
        </is>
      </c>
      <c r="G32" s="163" t="inlineStr">
        <is>
          <t>确认</t>
        </is>
      </c>
      <c r="H32" s="267" t="inlineStr">
        <is>
          <t xml:space="preserve">1. 请参照简版SOP摆放。
2. 放置试剂管时轻拿轻放，放置前充分离心去除试剂管底气泡。
</t>
        </is>
      </c>
      <c r="I32" s="247" t="n"/>
      <c r="J32" s="247" t="n"/>
      <c r="K32" s="247" t="n"/>
      <c r="L32" s="248" t="n"/>
    </row>
    <row r="33">
      <c r="A33" s="162" t="inlineStr">
        <is>
          <t>2.2mL深孔板</t>
        </is>
      </c>
      <c r="B33" s="162" t="n">
        <v>4</v>
      </c>
      <c r="C33" s="169" t="inlineStr">
        <is>
          <t>(√）</t>
        </is>
      </c>
      <c r="D33" s="164" t="inlineStr">
        <is>
          <t>PCR盖板</t>
        </is>
      </c>
      <c r="E33" s="254" t="n"/>
      <c r="F33" s="165" t="n">
        <v>1</v>
      </c>
      <c r="G33" s="169" t="inlineStr">
        <is>
          <t>(√）</t>
        </is>
      </c>
      <c r="H33" s="268" t="n"/>
      <c r="L33" s="265" t="n"/>
    </row>
    <row r="34" ht="13.9" customHeight="1" s="246">
      <c r="A34" s="162" t="inlineStr">
        <is>
          <t>1000μL吸头盒</t>
        </is>
      </c>
      <c r="B34" s="162" t="n">
        <v>2</v>
      </c>
      <c r="C34" s="169" t="inlineStr">
        <is>
          <t>(√）</t>
        </is>
      </c>
      <c r="D34" s="164" t="inlineStr">
        <is>
          <t>1.3mL深孔板</t>
        </is>
      </c>
      <c r="E34" s="254" t="n"/>
      <c r="F34" s="165" t="n">
        <v>4</v>
      </c>
      <c r="G34" s="169" t="inlineStr">
        <is>
          <t>(√）</t>
        </is>
      </c>
      <c r="H34" s="268" t="n"/>
      <c r="L34" s="265" t="n"/>
    </row>
    <row r="35" ht="14.25" customHeight="1" s="246">
      <c r="A35" s="162" t="inlineStr">
        <is>
          <t>300μL吸头盒</t>
        </is>
      </c>
      <c r="B35" s="162" t="n">
        <v>1</v>
      </c>
      <c r="C35" s="169" t="inlineStr">
        <is>
          <t>(√）</t>
        </is>
      </c>
      <c r="D35" s="164" t="inlineStr">
        <is>
          <t>50μL吸头盒</t>
        </is>
      </c>
      <c r="E35" s="254" t="n"/>
      <c r="F35" s="165" t="n">
        <v>4</v>
      </c>
      <c r="G35" s="169" t="inlineStr">
        <is>
          <t>(√）</t>
        </is>
      </c>
      <c r="H35" s="268" t="n"/>
      <c r="L35" s="265" t="n"/>
    </row>
    <row r="36" ht="13.9" customHeight="1" s="246">
      <c r="A36" s="162" t="inlineStr">
        <is>
          <t>全裙边PCR板</t>
        </is>
      </c>
      <c r="B36" s="162" t="n">
        <v>1</v>
      </c>
      <c r="C36" s="169" t="inlineStr">
        <is>
          <t>(√）</t>
        </is>
      </c>
      <c r="D36" s="164" t="inlineStr">
        <is>
          <t>300μL吸头盒</t>
        </is>
      </c>
      <c r="E36" s="254" t="n"/>
      <c r="F36" s="165" t="n">
        <v>4</v>
      </c>
      <c r="G36" s="169" t="inlineStr">
        <is>
          <t>(√）</t>
        </is>
      </c>
      <c r="H36" s="268" t="n"/>
      <c r="L36" s="265" t="n"/>
    </row>
    <row r="37" ht="13.9" customHeight="1" s="246">
      <c r="A37" s="162" t="inlineStr">
        <is>
          <t>磁棒套</t>
        </is>
      </c>
      <c r="B37" s="162" t="n">
        <v>6</v>
      </c>
      <c r="C37" s="169" t="inlineStr">
        <is>
          <t>(√）</t>
        </is>
      </c>
      <c r="D37" s="164" t="inlineStr">
        <is>
          <t>1000μL吸头盒</t>
        </is>
      </c>
      <c r="E37" s="254" t="n"/>
      <c r="F37" s="173" t="n">
        <v>1</v>
      </c>
      <c r="G37" s="169" t="inlineStr">
        <is>
          <t>(√）</t>
        </is>
      </c>
      <c r="H37" s="268" t="n"/>
      <c r="L37" s="265" t="n"/>
    </row>
    <row r="38" ht="13.9" customHeight="1" s="246">
      <c r="A38" s="162" t="inlineStr">
        <is>
          <t>试剂槽</t>
        </is>
      </c>
      <c r="B38" s="162" t="n">
        <v>4</v>
      </c>
      <c r="C38" s="169" t="inlineStr">
        <is>
          <t>(√）</t>
        </is>
      </c>
      <c r="D38" s="164" t="inlineStr">
        <is>
          <t>全裙边PCR板</t>
        </is>
      </c>
      <c r="E38" s="254" t="n"/>
      <c r="F38" s="165" t="n">
        <v>2</v>
      </c>
      <c r="G38" s="169" t="inlineStr">
        <is>
          <t>(√）</t>
        </is>
      </c>
      <c r="H38" s="268" t="n"/>
      <c r="L38" s="265" t="n"/>
    </row>
    <row r="39" ht="14.25" customHeight="1" s="246">
      <c r="A39" s="162" t="inlineStr">
        <is>
          <t>8mL管+黑色橡胶塞</t>
        </is>
      </c>
      <c r="B39" s="162" t="n">
        <v>2</v>
      </c>
      <c r="C39" s="169" t="inlineStr">
        <is>
          <t>(√）</t>
        </is>
      </c>
      <c r="D39" s="164" t="inlineStr">
        <is>
          <t>空300μL吸头盒</t>
        </is>
      </c>
      <c r="E39" s="254" t="n"/>
      <c r="F39" s="165" t="n">
        <v>1</v>
      </c>
      <c r="G39" s="169" t="inlineStr">
        <is>
          <t>(√）</t>
        </is>
      </c>
      <c r="H39" s="268" t="n"/>
      <c r="L39" s="265" t="n"/>
    </row>
    <row r="40" ht="14.25" customHeight="1" s="246">
      <c r="A40" s="162" t="n"/>
      <c r="B40" s="162" t="n"/>
      <c r="C40" s="169" t="n"/>
      <c r="D40" s="164" t="inlineStr">
        <is>
          <t>定量管</t>
        </is>
      </c>
      <c r="E40" s="254" t="n"/>
      <c r="F40" s="165" t="inlineStr">
        <is>
          <t>48（E25为64）</t>
        </is>
      </c>
      <c r="G40" s="169" t="inlineStr">
        <is>
          <t>(√）</t>
        </is>
      </c>
      <c r="H40" s="268" t="n"/>
      <c r="L40" s="265" t="n"/>
    </row>
    <row r="41" ht="14.25" customHeight="1" s="246">
      <c r="A41" s="162" t="n"/>
      <c r="B41" s="162" t="n"/>
      <c r="C41" s="169" t="n"/>
      <c r="D41" s="164" t="inlineStr">
        <is>
          <t>50mL试剂槽（普通/避光）</t>
        </is>
      </c>
      <c r="E41" s="254" t="n"/>
      <c r="F41" s="165" t="inlineStr">
        <is>
          <t>1/1</t>
        </is>
      </c>
      <c r="G41" s="169" t="inlineStr">
        <is>
          <t>(√）</t>
        </is>
      </c>
      <c r="H41" s="268" t="n"/>
      <c r="L41" s="265" t="n"/>
    </row>
    <row r="42" ht="14.25" customHeight="1" s="246">
      <c r="A42" s="162" t="n"/>
      <c r="B42" s="162" t="n"/>
      <c r="C42" s="169" t="n"/>
      <c r="D42" s="164" t="inlineStr">
        <is>
          <t>2mL螺旋管</t>
        </is>
      </c>
      <c r="E42" s="254" t="n"/>
      <c r="F42" s="165" t="n">
        <v>5</v>
      </c>
      <c r="G42" s="169" t="inlineStr">
        <is>
          <t>(√）</t>
        </is>
      </c>
      <c r="H42" s="268" t="n"/>
      <c r="L42" s="265" t="n"/>
    </row>
    <row r="43" ht="14.25" customHeight="1" s="246">
      <c r="A43" s="162" t="n"/>
      <c r="B43" s="162" t="n"/>
      <c r="C43" s="169" t="n"/>
      <c r="D43" s="164" t="inlineStr">
        <is>
          <t>0.5mL螺旋管</t>
        </is>
      </c>
      <c r="E43" s="254" t="n"/>
      <c r="F43" s="165" t="n">
        <v>11</v>
      </c>
      <c r="G43" s="169" t="inlineStr">
        <is>
          <t>(√）</t>
        </is>
      </c>
      <c r="H43" s="268" t="n"/>
      <c r="L43" s="265" t="n"/>
    </row>
    <row r="44" ht="15" customHeight="1" s="246">
      <c r="A44" s="162" t="n"/>
      <c r="B44" s="122" t="n"/>
      <c r="C44" s="122" t="n"/>
      <c r="D44" s="164" t="inlineStr">
        <is>
          <t>8mL管+黑色橡胶塞</t>
        </is>
      </c>
      <c r="E44" s="254" t="n"/>
      <c r="F44" s="165" t="inlineStr">
        <is>
          <t>3（E25为4）</t>
        </is>
      </c>
      <c r="G44" s="169" t="inlineStr">
        <is>
          <t>(√）</t>
        </is>
      </c>
      <c r="H44" s="269" t="n"/>
      <c r="I44" s="270" t="n"/>
      <c r="J44" s="270" t="n"/>
      <c r="K44" s="270" t="n"/>
      <c r="L44" s="271" t="n"/>
    </row>
    <row r="45" ht="29.25" customHeight="1" s="246">
      <c r="A45" s="162" t="inlineStr">
        <is>
          <t>操作人：</t>
        </is>
      </c>
      <c r="B45" s="122" t="n"/>
      <c r="C45" s="261" t="n"/>
      <c r="D45" s="261" t="n"/>
      <c r="E45" s="261" t="n"/>
      <c r="F45" s="261" t="n"/>
      <c r="G45" s="254" t="n"/>
      <c r="H45" s="162" t="inlineStr">
        <is>
          <t>复核人：</t>
        </is>
      </c>
      <c r="I45" s="122" t="n"/>
      <c r="J45" s="261" t="n"/>
      <c r="K45" s="261" t="n"/>
      <c r="L45" s="254" t="n"/>
    </row>
    <row r="46">
      <c r="A46" s="122" t="inlineStr">
        <is>
          <t>文库质控合格确认</t>
        </is>
      </c>
      <c r="B46" s="261" t="n"/>
      <c r="C46" s="261" t="n"/>
      <c r="D46" s="261" t="n"/>
      <c r="E46" s="261" t="n"/>
      <c r="F46" s="261" t="n"/>
      <c r="G46" s="261" t="n"/>
      <c r="H46" s="261" t="n"/>
      <c r="I46" s="254" t="n"/>
      <c r="J46" s="122" t="inlineStr">
        <is>
          <t>DNB质控-浓度</t>
        </is>
      </c>
      <c r="K46" s="261" t="n"/>
      <c r="L46" s="254" t="n"/>
    </row>
    <row r="47">
      <c r="A47" s="162" t="n">
        <v>1</v>
      </c>
      <c r="B47" s="178" t="n"/>
      <c r="C47" s="178" t="n"/>
      <c r="D47" s="179" t="inlineStr">
        <is>
          <t>(√）</t>
        </is>
      </c>
      <c r="E47" s="162" t="n">
        <v>1</v>
      </c>
      <c r="F47" s="178" t="n"/>
      <c r="G47" s="180" t="n"/>
      <c r="H47" s="179" t="inlineStr">
        <is>
          <t>(√）</t>
        </is>
      </c>
      <c r="J47" s="162" t="n">
        <v>1</v>
      </c>
      <c r="K47" s="162" t="n"/>
      <c r="L47" s="162" t="n"/>
    </row>
    <row r="48">
      <c r="A48" s="162" t="n">
        <v>2</v>
      </c>
      <c r="B48" s="178" t="n"/>
      <c r="C48" s="178" t="n"/>
      <c r="D48" s="162" t="n"/>
      <c r="E48" s="162" t="n">
        <v>2</v>
      </c>
      <c r="F48" s="178" t="n"/>
      <c r="G48" s="180" t="n"/>
      <c r="H48" s="180" t="n"/>
      <c r="I48" s="162" t="n"/>
      <c r="J48" s="162" t="n">
        <v>2</v>
      </c>
      <c r="K48" s="162" t="n"/>
      <c r="L48" s="162" t="n"/>
    </row>
    <row r="49">
      <c r="A49" s="162" t="n">
        <v>3</v>
      </c>
      <c r="B49" s="178" t="n"/>
      <c r="C49" s="178" t="n"/>
      <c r="D49" s="162" t="n"/>
      <c r="E49" s="162" t="n">
        <v>3</v>
      </c>
      <c r="F49" s="178" t="n"/>
      <c r="G49" s="180" t="n"/>
      <c r="H49" s="180" t="n"/>
      <c r="I49" s="162" t="n"/>
      <c r="J49" s="162" t="n">
        <v>3</v>
      </c>
      <c r="K49" s="162" t="n"/>
      <c r="L49" s="162" t="n"/>
    </row>
    <row r="50">
      <c r="A50" s="162" t="n">
        <v>4</v>
      </c>
      <c r="B50" s="178" t="n"/>
      <c r="C50" s="178" t="n"/>
      <c r="D50" s="162" t="n"/>
      <c r="E50" s="162" t="n">
        <v>4</v>
      </c>
      <c r="F50" s="178" t="n"/>
      <c r="G50" s="180" t="n"/>
      <c r="H50" s="180" t="n"/>
      <c r="I50" s="162" t="n"/>
      <c r="J50" s="162" t="n">
        <v>4</v>
      </c>
      <c r="K50" s="162" t="n"/>
      <c r="L50" s="162" t="n"/>
    </row>
    <row r="51">
      <c r="A51" s="162" t="n">
        <v>5</v>
      </c>
      <c r="B51" s="178" t="n"/>
      <c r="C51" s="178" t="n"/>
      <c r="D51" s="162" t="n"/>
      <c r="E51" s="162" t="n">
        <v>5</v>
      </c>
      <c r="F51" s="178" t="n"/>
      <c r="G51" s="180" t="n"/>
      <c r="H51" s="180" t="n"/>
      <c r="I51" s="162" t="n"/>
      <c r="J51" s="162" t="n"/>
      <c r="K51" s="162" t="n"/>
      <c r="L51" s="162" t="n"/>
    </row>
    <row r="52">
      <c r="A52" s="162" t="n">
        <v>6</v>
      </c>
      <c r="B52" s="178" t="n"/>
      <c r="C52" s="178" t="n"/>
      <c r="D52" s="162" t="n"/>
      <c r="E52" s="162" t="n">
        <v>6</v>
      </c>
      <c r="F52" s="178" t="n"/>
      <c r="G52" s="180" t="n"/>
      <c r="H52" s="180" t="n"/>
      <c r="I52" s="162" t="n"/>
      <c r="J52" s="162" t="n"/>
      <c r="K52" s="162" t="n"/>
      <c r="L52" s="162" t="n"/>
    </row>
    <row r="53">
      <c r="A53" s="162" t="n">
        <v>7</v>
      </c>
      <c r="B53" s="178" t="n"/>
      <c r="C53" s="178" t="n"/>
      <c r="D53" s="162" t="n"/>
      <c r="E53" s="162" t="n">
        <v>7</v>
      </c>
      <c r="F53" s="178" t="n"/>
      <c r="G53" s="180" t="n"/>
      <c r="H53" s="180" t="n"/>
      <c r="I53" s="162" t="n"/>
      <c r="J53" s="162" t="n"/>
      <c r="K53" s="162" t="n"/>
      <c r="L53" s="162" t="n"/>
    </row>
    <row r="54">
      <c r="A54" s="162" t="n">
        <v>8</v>
      </c>
      <c r="B54" s="178" t="n"/>
      <c r="C54" s="178" t="n"/>
      <c r="D54" s="162" t="n"/>
      <c r="E54" s="162" t="n">
        <v>8</v>
      </c>
      <c r="F54" s="178" t="n"/>
      <c r="G54" s="180" t="n"/>
      <c r="H54" s="180" t="n"/>
      <c r="I54" s="162" t="n"/>
      <c r="J54" s="162" t="n"/>
      <c r="K54" s="162" t="n"/>
      <c r="L54" s="162" t="n"/>
    </row>
    <row r="55">
      <c r="A55" s="162" t="inlineStr">
        <is>
          <t>测序仪上机时间:</t>
        </is>
      </c>
      <c r="B55" s="122" t="n"/>
      <c r="C55" s="261" t="n"/>
      <c r="D55" s="261" t="n"/>
      <c r="E55" s="261" t="n"/>
      <c r="F55" s="261" t="n"/>
      <c r="G55" s="261" t="n"/>
      <c r="H55" s="261" t="n"/>
      <c r="I55" s="261" t="n"/>
      <c r="J55" s="261" t="n"/>
      <c r="K55" s="261" t="n"/>
      <c r="L55" s="254" t="n"/>
    </row>
    <row r="56">
      <c r="A56" s="162" t="inlineStr">
        <is>
          <t>操作人：</t>
        </is>
      </c>
      <c r="B56" s="122" t="n"/>
      <c r="C56" s="261" t="n"/>
      <c r="D56" s="261" t="n"/>
      <c r="E56" s="261" t="n"/>
      <c r="F56" s="261" t="n"/>
      <c r="G56" s="254" t="n"/>
      <c r="H56" s="162" t="inlineStr">
        <is>
          <t>复核人：</t>
        </is>
      </c>
      <c r="I56" s="122" t="n"/>
      <c r="J56" s="261" t="n"/>
      <c r="K56" s="261" t="n"/>
      <c r="L56" s="254" t="n"/>
    </row>
  </sheetData>
  <mergeCells count="36">
    <mergeCell ref="A46:I46"/>
    <mergeCell ref="D34:E34"/>
    <mergeCell ref="H32:L44"/>
    <mergeCell ref="D40:E40"/>
    <mergeCell ref="A1:B1"/>
    <mergeCell ref="D36:E36"/>
    <mergeCell ref="H31:L31"/>
    <mergeCell ref="A2:L2"/>
    <mergeCell ref="G5:L5"/>
    <mergeCell ref="A5:F5"/>
    <mergeCell ref="A22:C22"/>
    <mergeCell ref="D32:E32"/>
    <mergeCell ref="D41:E41"/>
    <mergeCell ref="A4:L4"/>
    <mergeCell ref="I45:L45"/>
    <mergeCell ref="J46:L46"/>
    <mergeCell ref="D31:G31"/>
    <mergeCell ref="D43:E43"/>
    <mergeCell ref="A31:C31"/>
    <mergeCell ref="B45:G45"/>
    <mergeCell ref="G22:L22"/>
    <mergeCell ref="D37:E37"/>
    <mergeCell ref="C1:L1"/>
    <mergeCell ref="D39:E39"/>
    <mergeCell ref="A30:L30"/>
    <mergeCell ref="B3:G3"/>
    <mergeCell ref="D42:E42"/>
    <mergeCell ref="I56:L56"/>
    <mergeCell ref="I3:L3"/>
    <mergeCell ref="D33:E33"/>
    <mergeCell ref="B55:L55"/>
    <mergeCell ref="D22:F22"/>
    <mergeCell ref="D38:E38"/>
    <mergeCell ref="B56:G56"/>
    <mergeCell ref="D44:E44"/>
    <mergeCell ref="D35:E3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G13" sqref="G13"/>
    </sheetView>
  </sheetViews>
  <sheetFormatPr baseColWidth="8" defaultColWidth="9" defaultRowHeight="14"/>
  <cols>
    <col width="13.75" customWidth="1" style="173" min="1" max="1"/>
    <col width="26.9166666666667" customWidth="1" style="173" min="2" max="2"/>
    <col width="19.3333333333333" customWidth="1" style="173" min="3" max="3"/>
    <col width="25.5833333333333" customWidth="1" style="173" min="4" max="4"/>
    <col width="23.25" customWidth="1" style="173" min="5" max="5"/>
    <col width="9" customWidth="1" style="173" min="6" max="16384"/>
  </cols>
  <sheetData>
    <row r="1" ht="58.75" customHeight="1" s="246">
      <c r="A1" s="51" t="n"/>
      <c r="B1" s="272" t="n"/>
      <c r="C1" s="52" t="n"/>
    </row>
    <row r="2" ht="24" customHeight="1" s="246">
      <c r="A2" s="273" t="inlineStr">
        <is>
          <t xml:space="preserve">联合实验室DNBSEQ-G99 平台SE测序任务单             </t>
        </is>
      </c>
      <c r="B2" s="274" t="n"/>
      <c r="C2" s="274" t="n"/>
      <c r="D2" s="274" t="n"/>
      <c r="E2" s="275" t="n"/>
    </row>
    <row r="3" ht="24" customFormat="1" customHeight="1" s="49">
      <c r="A3" s="56" t="inlineStr">
        <is>
          <t>测序样本数：</t>
        </is>
      </c>
      <c r="B3" s="57" t="n"/>
      <c r="C3" s="253" t="n"/>
      <c r="D3" s="58" t="inlineStr">
        <is>
          <t>任务单编号：</t>
        </is>
      </c>
      <c r="E3" s="59" t="n"/>
      <c r="F3" s="173" t="n"/>
      <c r="G3" s="11" t="n"/>
    </row>
    <row r="4" ht="24" customFormat="1" customHeight="1" s="49">
      <c r="A4" s="60" t="inlineStr">
        <is>
          <t xml:space="preserve">测序日期：                            </t>
        </is>
      </c>
      <c r="B4" s="61" t="n"/>
      <c r="C4" s="262" t="n"/>
      <c r="D4" s="62" t="inlineStr">
        <is>
          <t>试剂盒批号：</t>
        </is>
      </c>
      <c r="E4" s="63" t="n"/>
      <c r="F4" s="173" t="n"/>
    </row>
    <row r="5" ht="6" customFormat="1" customHeight="1" s="49">
      <c r="A5" s="64" t="n"/>
      <c r="B5" s="65" t="n"/>
      <c r="C5" s="65" t="n"/>
      <c r="D5" s="64" t="n"/>
      <c r="E5" s="66" t="n"/>
      <c r="F5" s="173" t="n"/>
    </row>
    <row r="6" ht="6" customHeight="1" s="246">
      <c r="A6" s="67" t="n"/>
      <c r="B6" s="68" t="n"/>
      <c r="C6" s="68" t="n"/>
      <c r="D6" s="69" t="n"/>
      <c r="E6" s="70" t="n"/>
    </row>
    <row r="7" ht="30" customHeight="1" s="246">
      <c r="A7" s="71" t="inlineStr">
        <is>
          <t>DNB浓度检测</t>
        </is>
      </c>
      <c r="B7" s="72" t="inlineStr">
        <is>
          <t>文库编号</t>
        </is>
      </c>
      <c r="C7" s="73" t="inlineStr">
        <is>
          <t>DNB浓度
(ng/μL)</t>
        </is>
      </c>
      <c r="D7" s="74" t="inlineStr">
        <is>
          <t>浓度要求≥8ng/μL，低于需重制备；高于40 ng/μL需用TE缓冲液稀释至20ng/μL</t>
        </is>
      </c>
      <c r="E7" s="276" t="n"/>
    </row>
    <row r="8" ht="24" customHeight="1" s="246">
      <c r="A8" s="277" t="n"/>
      <c r="B8" s="77" t="n"/>
      <c r="C8" s="78" t="n"/>
      <c r="D8" s="278" t="n"/>
      <c r="E8" s="279" t="n"/>
    </row>
    <row r="9" ht="6" customHeight="1" s="246">
      <c r="A9" s="67" t="n"/>
      <c r="B9" s="81" t="n"/>
      <c r="C9" s="69" t="n"/>
      <c r="D9" s="70" t="n"/>
      <c r="E9" s="70" t="n"/>
    </row>
    <row r="10" ht="24" customHeight="1" s="246">
      <c r="A10" s="82" t="inlineStr">
        <is>
          <t>DNB 加载</t>
        </is>
      </c>
      <c r="B10" s="83" t="inlineStr">
        <is>
          <t>反应试剂</t>
        </is>
      </c>
      <c r="C10" s="253" t="n"/>
      <c r="D10" s="84" t="inlineStr">
        <is>
          <t>用量(μL)</t>
        </is>
      </c>
      <c r="E10" s="85" t="inlineStr">
        <is>
          <t>确认打√</t>
        </is>
      </c>
    </row>
    <row r="11" ht="24" customHeight="1" s="246">
      <c r="A11" s="280" t="n"/>
      <c r="B11" s="87" t="inlineStr">
        <is>
          <t>DNB体积</t>
        </is>
      </c>
      <c r="C11" s="254" t="n"/>
      <c r="D11" s="89" t="n">
        <v>21</v>
      </c>
      <c r="E11" s="90" t="n"/>
    </row>
    <row r="12" ht="24" customHeight="1" s="246">
      <c r="A12" s="280" t="n"/>
      <c r="B12" s="87" t="inlineStr">
        <is>
          <t>DNB 加载缓冲液Ⅱ</t>
        </is>
      </c>
      <c r="C12" s="254" t="n"/>
      <c r="D12" s="89" t="n">
        <v>7</v>
      </c>
      <c r="E12" s="90" t="n"/>
    </row>
    <row r="13" ht="24" customHeight="1" s="246">
      <c r="A13" s="280" t="n"/>
      <c r="B13" s="87" t="inlineStr">
        <is>
          <t>DNB聚合酶混合液Ⅱ（LC）</t>
        </is>
      </c>
      <c r="C13" s="254" t="n"/>
      <c r="D13" s="89" t="n">
        <v>1</v>
      </c>
      <c r="E13" s="90" t="n"/>
    </row>
    <row r="14" ht="24" customHeight="1" s="246">
      <c r="A14" s="281" t="n"/>
      <c r="B14" s="92" t="inlineStr">
        <is>
          <t>用阔口枪头混匀后，再用200μL无滤芯吸头（非阔口）取10μLDNB加载体系加载芯片</t>
        </is>
      </c>
      <c r="C14" s="266" t="n"/>
      <c r="D14" s="266" t="n"/>
      <c r="E14" s="262" t="n"/>
    </row>
    <row r="15" ht="6" customHeight="1" s="246">
      <c r="A15" s="95" t="n"/>
      <c r="B15" s="68" t="n"/>
      <c r="C15" s="68" t="n"/>
      <c r="D15" s="68" t="n"/>
      <c r="E15" s="68" t="n"/>
    </row>
    <row r="16" ht="30" customFormat="1" customHeight="1" s="50">
      <c r="A16" s="96" t="inlineStr">
        <is>
          <t>测序试剂准备</t>
        </is>
      </c>
      <c r="B16" s="97" t="inlineStr">
        <is>
          <t>1.试剂解冻后混匀，使用FTAT-预混压紧块按压试剂槽M1、M2、M3、M4孔位</t>
        </is>
      </c>
      <c r="C16" s="282" t="n"/>
      <c r="D16" s="282" t="n"/>
      <c r="E16" s="283" t="n"/>
    </row>
    <row r="17" ht="30" customFormat="1" customHeight="1" s="50">
      <c r="A17" s="281" t="n"/>
      <c r="B17" s="101" t="inlineStr">
        <is>
          <t>2.双手握住试剂槽A、B两侧，上下、左右摇晃混匀10-20次，可轻轻敲打测序试剂槽，以减少试剂中的气泡</t>
        </is>
      </c>
      <c r="C17" s="284" t="n"/>
      <c r="D17" s="284" t="n"/>
      <c r="E17" s="285" t="n"/>
    </row>
    <row r="18" ht="6" customFormat="1" customHeight="1" s="50">
      <c r="A18" s="104" t="n"/>
      <c r="B18" s="105" t="n"/>
      <c r="C18" s="105" t="n"/>
      <c r="D18" s="105" t="n"/>
      <c r="E18" s="105" t="n"/>
    </row>
    <row r="19" ht="24" customFormat="1" customHeight="1" s="50">
      <c r="A19" s="106" t="inlineStr">
        <is>
          <t>上机信息
确认</t>
        </is>
      </c>
      <c r="B19" s="107" t="inlineStr">
        <is>
          <t>检查模块</t>
        </is>
      </c>
      <c r="C19" s="84" t="inlineStr">
        <is>
          <t>确认打√</t>
        </is>
      </c>
      <c r="D19" s="84" t="inlineStr">
        <is>
          <t>检查模块</t>
        </is>
      </c>
      <c r="E19" s="108" t="inlineStr">
        <is>
          <t>确认打√</t>
        </is>
      </c>
    </row>
    <row r="20" ht="24" customFormat="1" customHeight="1" s="50">
      <c r="A20" s="280" t="n"/>
      <c r="B20" s="110" t="inlineStr">
        <is>
          <t>上机前点检</t>
        </is>
      </c>
      <c r="C20" s="111" t="n"/>
      <c r="D20" s="89" t="inlineStr">
        <is>
          <t>测序方案复核</t>
        </is>
      </c>
      <c r="E20" s="112" t="n"/>
    </row>
    <row r="21" ht="24" customFormat="1" customHeight="1" s="50">
      <c r="A21" s="280" t="n"/>
      <c r="B21" s="110" t="inlineStr">
        <is>
          <t>试剂槽安放</t>
        </is>
      </c>
      <c r="C21" s="113" t="inlineStr">
        <is>
          <t xml:space="preserve">□A     □B  </t>
        </is>
      </c>
      <c r="D21" s="89" t="inlineStr">
        <is>
          <t>芯片安放</t>
        </is>
      </c>
      <c r="E21" s="114" t="inlineStr">
        <is>
          <t xml:space="preserve">□A    □B  </t>
        </is>
      </c>
    </row>
    <row r="22" ht="24" customFormat="1" customHeight="1" s="50">
      <c r="A22" s="281" t="n"/>
      <c r="B22" s="116" t="inlineStr">
        <is>
          <t xml:space="preserve"> 开始时间：           年           月           日           时           分</t>
        </is>
      </c>
      <c r="C22" s="286" t="n"/>
      <c r="D22" s="286" t="n"/>
      <c r="E22" s="287" t="n"/>
    </row>
    <row r="23" ht="6" customFormat="1" customHeight="1" s="50">
      <c r="A23" s="119" t="n"/>
      <c r="B23" s="104" t="n"/>
      <c r="C23" s="104" t="n"/>
      <c r="D23" s="104" t="n"/>
      <c r="E23" s="104" t="n"/>
    </row>
    <row r="24" ht="30" customFormat="1" customHeight="1" s="50">
      <c r="A24" s="106" t="inlineStr">
        <is>
          <t>First Base
碱基信息</t>
        </is>
      </c>
      <c r="B24" s="107" t="inlineStr">
        <is>
          <t>芯片号</t>
        </is>
      </c>
      <c r="C24" s="120" t="inlineStr">
        <is>
          <t>位置</t>
        </is>
      </c>
      <c r="D24" s="120" t="inlineStr">
        <is>
          <t>Q30%</t>
        </is>
      </c>
      <c r="E24" s="108" t="inlineStr">
        <is>
          <t>确认打√</t>
        </is>
      </c>
    </row>
    <row r="25" ht="25" customFormat="1" customHeight="1" s="50">
      <c r="A25" s="280" t="n"/>
      <c r="B25" s="121" t="n"/>
      <c r="C25" s="122" t="inlineStr">
        <is>
          <t>A</t>
        </is>
      </c>
      <c r="D25" s="123" t="n"/>
      <c r="E25" s="124" t="n"/>
    </row>
    <row r="26" ht="25" customFormat="1" customHeight="1" s="50">
      <c r="A26" s="281" t="n"/>
      <c r="B26" s="125" t="n"/>
      <c r="C26" s="78" t="inlineStr">
        <is>
          <t>B</t>
        </is>
      </c>
      <c r="D26" s="126" t="n"/>
      <c r="E26" s="127" t="n"/>
    </row>
    <row r="27" ht="6" customFormat="1" customHeight="1" s="50">
      <c r="A27" s="119" t="n"/>
      <c r="B27" s="69" t="n"/>
      <c r="C27" s="69" t="n"/>
      <c r="D27" s="69" t="n"/>
      <c r="E27" s="128" t="n"/>
    </row>
    <row r="28" ht="25" customFormat="1" customHeight="1" s="50">
      <c r="A28" s="129" t="inlineStr">
        <is>
          <t xml:space="preserve">操作人： </t>
        </is>
      </c>
      <c r="B28" s="130" t="n"/>
      <c r="C28" s="130" t="n"/>
      <c r="D28" s="131" t="inlineStr">
        <is>
          <t>复核人：</t>
        </is>
      </c>
      <c r="E28" s="288" t="n"/>
    </row>
  </sheetData>
  <mergeCells count="20">
    <mergeCell ref="C1:E1"/>
    <mergeCell ref="D7:E8"/>
    <mergeCell ref="B3:C3"/>
    <mergeCell ref="A7:A8"/>
    <mergeCell ref="A16:A17"/>
    <mergeCell ref="A1:B1"/>
    <mergeCell ref="B12:C12"/>
    <mergeCell ref="B11:C11"/>
    <mergeCell ref="B16:E16"/>
    <mergeCell ref="A10:A14"/>
    <mergeCell ref="A24:A26"/>
    <mergeCell ref="B22:E22"/>
    <mergeCell ref="B13:C13"/>
    <mergeCell ref="A2:E2"/>
    <mergeCell ref="B10:C10"/>
    <mergeCell ref="D28:E28"/>
    <mergeCell ref="A19:A22"/>
    <mergeCell ref="B14:E14"/>
    <mergeCell ref="B17:E17"/>
    <mergeCell ref="B4:C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H11" sqref="H11"/>
    </sheetView>
  </sheetViews>
  <sheetFormatPr baseColWidth="8" defaultColWidth="9" defaultRowHeight="15.5"/>
  <cols>
    <col width="18.9166666666667" customWidth="1" style="3" min="1" max="1"/>
    <col width="22.75" customWidth="1" style="3" min="2" max="4"/>
    <col width="26.3333333333333" customWidth="1" style="3" min="5" max="5"/>
    <col width="22.75" customWidth="1" style="3" min="6" max="6"/>
    <col width="9" customWidth="1" style="173" min="7" max="16384"/>
  </cols>
  <sheetData>
    <row r="1" ht="57.5" customHeight="1" s="246">
      <c r="A1" s="4" t="n"/>
      <c r="B1" s="249" t="n"/>
      <c r="C1" s="7" t="n"/>
      <c r="D1" s="249" t="n"/>
      <c r="E1" s="249" t="n"/>
      <c r="F1" s="289" t="n"/>
    </row>
    <row r="2" ht="21.65" customHeight="1" s="246">
      <c r="A2" s="290" t="inlineStr">
        <is>
          <t>联合实验室MGISEQ-200平台 SE单端测序任务单</t>
        </is>
      </c>
      <c r="B2" s="249" t="n"/>
      <c r="C2" s="249" t="n"/>
      <c r="D2" s="249" t="n"/>
      <c r="E2" s="249" t="n"/>
      <c r="F2" s="289" t="n"/>
      <c r="G2" s="11" t="n"/>
    </row>
    <row r="3" ht="4.75" customFormat="1" customHeight="1" s="46">
      <c r="A3" s="12" t="n"/>
      <c r="B3" s="12" t="n"/>
      <c r="C3" s="12" t="n"/>
      <c r="D3" s="12" t="n"/>
      <c r="E3" s="12" t="n"/>
      <c r="F3" s="12" t="n"/>
    </row>
    <row r="4" ht="18" customFormat="1" customHeight="1" s="46">
      <c r="A4" s="13" t="inlineStr">
        <is>
          <t>试剂盒批次</t>
        </is>
      </c>
      <c r="B4" s="14" t="inlineStr">
        <is>
          <t>芯片号</t>
        </is>
      </c>
      <c r="C4" s="14" t="inlineStr">
        <is>
          <t>上机日期</t>
        </is>
      </c>
      <c r="D4" s="14" t="inlineStr">
        <is>
          <t>测序仪编号</t>
        </is>
      </c>
      <c r="E4" s="14" t="inlineStr">
        <is>
          <t>操作人</t>
        </is>
      </c>
      <c r="F4" s="15" t="inlineStr">
        <is>
          <t>复核人</t>
        </is>
      </c>
    </row>
    <row r="5" ht="15.65" customHeight="1" s="246">
      <c r="A5" s="16" t="n"/>
      <c r="B5" s="17" t="n"/>
      <c r="C5" s="17" t="n"/>
      <c r="D5" s="17" t="n"/>
      <c r="E5" s="17" t="n"/>
      <c r="F5" s="18" t="n"/>
    </row>
    <row r="6" ht="4.25" customHeight="1" s="246">
      <c r="A6" s="12" t="n"/>
      <c r="B6" s="12" t="n"/>
      <c r="C6" s="12" t="n"/>
      <c r="D6" s="12" t="n"/>
      <c r="E6" s="12" t="n"/>
      <c r="F6" s="12" t="n"/>
    </row>
    <row r="7" ht="4.75" customHeight="1" s="246">
      <c r="A7" s="48" t="n"/>
      <c r="B7" s="20" t="n"/>
      <c r="C7" s="20" t="n"/>
      <c r="D7" s="20" t="n"/>
      <c r="E7" s="20" t="n"/>
      <c r="F7" s="48" t="n"/>
    </row>
    <row r="8" ht="21" customHeight="1" s="246">
      <c r="A8" s="13" t="inlineStr">
        <is>
          <t>加载体系</t>
        </is>
      </c>
      <c r="B8" s="14" t="inlineStr">
        <is>
          <t>试剂名称</t>
        </is>
      </c>
      <c r="C8" s="252" t="n"/>
      <c r="D8" s="253" t="n"/>
      <c r="E8" s="21" t="inlineStr">
        <is>
          <t>加入量(μL)</t>
        </is>
      </c>
      <c r="F8" s="22" t="inlineStr">
        <is>
          <t>确认</t>
        </is>
      </c>
    </row>
    <row r="9" ht="21" customHeight="1" s="246">
      <c r="A9" s="291" t="n"/>
      <c r="B9" s="24" t="inlineStr">
        <is>
          <t>总DNB</t>
        </is>
      </c>
      <c r="C9" s="261" t="n"/>
      <c r="D9" s="254" t="n"/>
      <c r="E9" s="24" t="n">
        <v>100</v>
      </c>
      <c r="F9" s="25" t="n"/>
    </row>
    <row r="10" ht="21" customHeight="1" s="246">
      <c r="A10" s="291" t="n"/>
      <c r="B10" s="24" t="inlineStr">
        <is>
          <t xml:space="preserve"> DNB加载缓冲液I</t>
        </is>
      </c>
      <c r="C10" s="261" t="n"/>
      <c r="D10" s="254" t="n"/>
      <c r="E10" s="24" t="n">
        <v>50</v>
      </c>
      <c r="F10" s="25" t="n"/>
    </row>
    <row r="11" ht="21" customHeight="1" s="246">
      <c r="A11" s="291" t="n"/>
      <c r="B11" s="24" t="inlineStr">
        <is>
          <t xml:space="preserve"> DNB加载缓冲液II</t>
        </is>
      </c>
      <c r="C11" s="261" t="n"/>
      <c r="D11" s="254" t="n"/>
      <c r="E11" s="24" t="n">
        <v>50</v>
      </c>
      <c r="F11" s="25" t="n"/>
    </row>
    <row r="12" ht="21" customHeight="1" s="246">
      <c r="A12" s="292" t="n"/>
      <c r="B12" s="17" t="inlineStr">
        <is>
          <t>DNB聚合酶混合液II</t>
        </is>
      </c>
      <c r="C12" s="266" t="n"/>
      <c r="D12" s="262" t="n"/>
      <c r="E12" s="17" t="n">
        <v>1</v>
      </c>
      <c r="F12" s="18" t="n"/>
    </row>
    <row r="13" ht="7.25" customHeight="1" s="246">
      <c r="A13" s="183" t="n"/>
      <c r="B13" s="183" t="n"/>
      <c r="C13" s="183" t="n"/>
      <c r="D13" s="183" t="n"/>
      <c r="E13" s="183" t="n"/>
      <c r="F13" s="183" t="n"/>
    </row>
    <row r="14" ht="22.25" customHeight="1" s="246">
      <c r="A14" s="27" t="inlineStr">
        <is>
          <t>测序试剂配制（SE35/SE50/SE60 FCL）</t>
        </is>
      </c>
      <c r="B14" s="14" t="inlineStr">
        <is>
          <t>试剂名称</t>
        </is>
      </c>
      <c r="C14" s="253" t="n"/>
      <c r="D14" s="14" t="inlineStr">
        <is>
          <t>孔位</t>
        </is>
      </c>
      <c r="E14" s="21" t="inlineStr">
        <is>
          <t>加入量(μL)</t>
        </is>
      </c>
      <c r="F14" s="22" t="inlineStr">
        <is>
          <t>确认</t>
        </is>
      </c>
    </row>
    <row r="15" ht="22.25" customHeight="1" s="246">
      <c r="A15" s="291" t="n"/>
      <c r="B15" s="24" t="inlineStr">
        <is>
          <t>dNTPs混合液Ⅲ</t>
        </is>
      </c>
      <c r="C15" s="254" t="n"/>
      <c r="D15" s="24" t="n">
        <v>1</v>
      </c>
      <c r="E15" s="24" t="n">
        <v>320</v>
      </c>
      <c r="F15" s="25" t="n"/>
    </row>
    <row r="16" ht="22.25" customHeight="1" s="246">
      <c r="A16" s="291" t="n"/>
      <c r="B16" s="24" t="inlineStr">
        <is>
          <t>dNTPs混合液II</t>
        </is>
      </c>
      <c r="C16" s="254" t="n"/>
      <c r="D16" s="24" t="n">
        <v>2</v>
      </c>
      <c r="E16" s="24" t="n">
        <v>560</v>
      </c>
      <c r="F16" s="25" t="n"/>
    </row>
    <row r="17" ht="22.25" customHeight="1" s="246">
      <c r="A17" s="291" t="n"/>
      <c r="B17" s="24" t="inlineStr">
        <is>
          <t>DNA聚合酶混合液</t>
        </is>
      </c>
      <c r="C17" s="254" t="n"/>
      <c r="D17" s="24" t="n">
        <v>1</v>
      </c>
      <c r="E17" s="24" t="n">
        <v>320</v>
      </c>
      <c r="F17" s="25" t="n"/>
    </row>
    <row r="18" ht="22.25" customHeight="1" s="246">
      <c r="A18" s="292" t="n"/>
      <c r="B18" s="24" t="inlineStr">
        <is>
          <t>DNA聚合酶混合液</t>
        </is>
      </c>
      <c r="C18" s="254" t="n"/>
      <c r="D18" s="24" t="n">
        <v>2</v>
      </c>
      <c r="E18" s="24" t="n">
        <v>280</v>
      </c>
      <c r="F18" s="25" t="n"/>
    </row>
    <row r="19" ht="22.25" customHeight="1" s="246">
      <c r="A19" s="29" t="inlineStr">
        <is>
          <t>测序试剂配制（SE100 FCS）</t>
        </is>
      </c>
      <c r="B19" s="24" t="inlineStr">
        <is>
          <t>试剂名称</t>
        </is>
      </c>
      <c r="C19" s="254" t="n"/>
      <c r="D19" s="24" t="inlineStr">
        <is>
          <t>孔位</t>
        </is>
      </c>
      <c r="E19" s="30" t="inlineStr">
        <is>
          <t>加入量(μL)</t>
        </is>
      </c>
      <c r="F19" s="25" t="inlineStr">
        <is>
          <t>确认</t>
        </is>
      </c>
    </row>
    <row r="20" ht="22.25" customHeight="1" s="246">
      <c r="A20" s="291" t="n"/>
      <c r="B20" s="24" t="inlineStr">
        <is>
          <t>dNTPs混合液Ⅲ</t>
        </is>
      </c>
      <c r="C20" s="254" t="n"/>
      <c r="D20" s="24" t="n">
        <v>1</v>
      </c>
      <c r="E20" s="24" t="n">
        <v>320</v>
      </c>
      <c r="F20" s="25" t="n"/>
    </row>
    <row r="21" ht="22.25" customHeight="1" s="246">
      <c r="A21" s="291" t="n"/>
      <c r="B21" s="24" t="inlineStr">
        <is>
          <t>dNTPs混合液II</t>
        </is>
      </c>
      <c r="C21" s="254" t="n"/>
      <c r="D21" s="24" t="n">
        <v>2</v>
      </c>
      <c r="E21" s="24" t="n">
        <v>560</v>
      </c>
      <c r="F21" s="25" t="n"/>
    </row>
    <row r="22" ht="22.25" customHeight="1" s="246">
      <c r="A22" s="291" t="n"/>
      <c r="B22" s="24" t="inlineStr">
        <is>
          <t>DNA聚合酶混合液</t>
        </is>
      </c>
      <c r="C22" s="254" t="n"/>
      <c r="D22" s="24" t="n">
        <v>1</v>
      </c>
      <c r="E22" s="24" t="n">
        <v>320</v>
      </c>
      <c r="F22" s="25" t="n"/>
    </row>
    <row r="23" ht="22.25" customHeight="1" s="246">
      <c r="A23" s="292" t="n"/>
      <c r="B23" s="24" t="inlineStr">
        <is>
          <t>DNA聚合酶混合液</t>
        </is>
      </c>
      <c r="C23" s="254" t="n"/>
      <c r="D23" s="24" t="n">
        <v>2</v>
      </c>
      <c r="E23" s="24" t="n">
        <v>280</v>
      </c>
      <c r="F23" s="25" t="n"/>
    </row>
    <row r="24" ht="22.25" customHeight="1" s="246">
      <c r="A24" s="29" t="inlineStr">
        <is>
          <t>测序试剂配制（SE100 FCL）</t>
        </is>
      </c>
      <c r="B24" s="24" t="inlineStr">
        <is>
          <t>试剂名称</t>
        </is>
      </c>
      <c r="C24" s="254" t="n"/>
      <c r="D24" s="24" t="inlineStr">
        <is>
          <t>孔位</t>
        </is>
      </c>
      <c r="E24" s="30" t="inlineStr">
        <is>
          <t>加入量(μL)</t>
        </is>
      </c>
      <c r="F24" s="25" t="inlineStr">
        <is>
          <t>确认</t>
        </is>
      </c>
    </row>
    <row r="25" ht="22.25" customHeight="1" s="246">
      <c r="A25" s="291" t="n"/>
      <c r="B25" s="24" t="inlineStr">
        <is>
          <t>dNTPs混合液Ⅲ</t>
        </is>
      </c>
      <c r="C25" s="254" t="n"/>
      <c r="D25" s="24" t="n">
        <v>1</v>
      </c>
      <c r="E25" s="24" t="n">
        <v>440</v>
      </c>
      <c r="F25" s="25" t="n"/>
    </row>
    <row r="26" ht="22.25" customHeight="1" s="246">
      <c r="A26" s="291" t="n"/>
      <c r="B26" s="24" t="inlineStr">
        <is>
          <t>dNTPs混合液II</t>
        </is>
      </c>
      <c r="C26" s="254" t="n"/>
      <c r="D26" s="24" t="n">
        <v>2</v>
      </c>
      <c r="E26" s="24" t="n">
        <v>760</v>
      </c>
      <c r="F26" s="25" t="n"/>
    </row>
    <row r="27" ht="22.25" customHeight="1" s="246">
      <c r="A27" s="291" t="n"/>
      <c r="B27" s="24" t="inlineStr">
        <is>
          <t>DNA聚合酶混合液</t>
        </is>
      </c>
      <c r="C27" s="254" t="n"/>
      <c r="D27" s="24" t="n">
        <v>1</v>
      </c>
      <c r="E27" s="24" t="n">
        <v>440</v>
      </c>
      <c r="F27" s="25" t="n"/>
    </row>
    <row r="28" ht="22.25" customHeight="1" s="246">
      <c r="A28" s="292" t="n"/>
      <c r="B28" s="24" t="inlineStr">
        <is>
          <t>DNA聚合酶混合液</t>
        </is>
      </c>
      <c r="C28" s="254" t="n"/>
      <c r="D28" s="17" t="n">
        <v>2</v>
      </c>
      <c r="E28" s="17" t="n">
        <v>380</v>
      </c>
      <c r="F28" s="18" t="n"/>
    </row>
    <row r="29" ht="4.75" customHeight="1" s="246">
      <c r="A29" s="32" t="n"/>
      <c r="B29" s="33" t="n"/>
      <c r="C29" s="34" t="n"/>
      <c r="D29" s="35" t="n"/>
      <c r="E29" s="35" t="n"/>
      <c r="F29" s="36" t="n"/>
    </row>
    <row r="30" ht="18.65" customHeight="1" s="246">
      <c r="A30" s="37" t="inlineStr">
        <is>
          <t>常规清洗确认：</t>
        </is>
      </c>
      <c r="B30" s="38" t="n"/>
      <c r="C30" s="39" t="inlineStr">
        <is>
          <t>磁盘容量(T)：</t>
        </is>
      </c>
      <c r="D30" s="14" t="n"/>
      <c r="E30" s="38" t="inlineStr">
        <is>
          <t>测序仪是否已重启</t>
        </is>
      </c>
      <c r="F30" s="22" t="inlineStr">
        <is>
          <t>□ 是    □ 否</t>
        </is>
      </c>
    </row>
    <row r="31" ht="18.65" customHeight="1" s="246">
      <c r="A31" s="40" t="inlineStr">
        <is>
          <t>芯片安装确认：□</t>
        </is>
      </c>
      <c r="B31" s="285" t="n"/>
      <c r="C31" s="239" t="inlineStr">
        <is>
          <t>芯片清净确认：□</t>
        </is>
      </c>
      <c r="D31" s="24" t="n"/>
      <c r="E31" s="41" t="inlineStr">
        <is>
          <t>负压（kPa）：</t>
        </is>
      </c>
      <c r="F31" s="25" t="n"/>
    </row>
    <row r="32" ht="18.65" customHeight="1" s="246">
      <c r="A32" s="43" t="inlineStr">
        <is>
          <t>上机操作人：                                                                      复核人：                                    测序起始时间：      年     月     日     时</t>
        </is>
      </c>
      <c r="B32" s="286" t="n"/>
      <c r="C32" s="286" t="n"/>
      <c r="D32" s="286" t="n"/>
      <c r="E32" s="286" t="n"/>
      <c r="F32" s="287" t="n"/>
    </row>
  </sheetData>
  <mergeCells count="29">
    <mergeCell ref="B11:D11"/>
    <mergeCell ref="B16:C16"/>
    <mergeCell ref="B25:C25"/>
    <mergeCell ref="B8:D8"/>
    <mergeCell ref="A8:A12"/>
    <mergeCell ref="B22:C22"/>
    <mergeCell ref="A1:B1"/>
    <mergeCell ref="A14:A18"/>
    <mergeCell ref="B27:C27"/>
    <mergeCell ref="B18:C18"/>
    <mergeCell ref="B10:D10"/>
    <mergeCell ref="A2:F2"/>
    <mergeCell ref="B21:C21"/>
    <mergeCell ref="A32:F32"/>
    <mergeCell ref="B23:C23"/>
    <mergeCell ref="B9:D9"/>
    <mergeCell ref="B14:C14"/>
    <mergeCell ref="A19:A23"/>
    <mergeCell ref="B17:C17"/>
    <mergeCell ref="B19:C19"/>
    <mergeCell ref="A24:A28"/>
    <mergeCell ref="B28:C28"/>
    <mergeCell ref="C1:F1"/>
    <mergeCell ref="B24:C24"/>
    <mergeCell ref="B15:C15"/>
    <mergeCell ref="B20:C20"/>
    <mergeCell ref="B26:C26"/>
    <mergeCell ref="B12:D12"/>
    <mergeCell ref="A31:B31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C5" sqref="C5"/>
    </sheetView>
  </sheetViews>
  <sheetFormatPr baseColWidth="8" defaultColWidth="8.91666666666667" defaultRowHeight="15.5"/>
  <cols>
    <col width="20.3333333333333" customWidth="1" style="3" min="1" max="1"/>
    <col width="22.75" customWidth="1" style="3" min="2" max="4"/>
    <col width="26.3333333333333" customWidth="1" style="3" min="5" max="5"/>
    <col width="22.75" customWidth="1" style="3" min="6" max="6"/>
    <col width="8.91666666666667" customWidth="1" style="3" min="7" max="16384"/>
  </cols>
  <sheetData>
    <row r="1" ht="67.75" customFormat="1" customHeight="1" s="1">
      <c r="A1" s="4" t="n"/>
      <c r="B1" s="249" t="n"/>
      <c r="C1" s="7" t="n"/>
      <c r="D1" s="249" t="n"/>
      <c r="E1" s="249" t="n"/>
      <c r="F1" s="289" t="n"/>
    </row>
    <row r="2" ht="24.65" customHeight="1" s="246">
      <c r="A2" s="290" t="inlineStr">
        <is>
          <t>联合实验室MGISEQ-2000平台 SE单端测序任务单</t>
        </is>
      </c>
      <c r="B2" s="249" t="n"/>
      <c r="C2" s="249" t="n"/>
      <c r="D2" s="249" t="n"/>
      <c r="E2" s="249" t="n"/>
      <c r="F2" s="289" t="n"/>
      <c r="G2" s="11" t="n"/>
    </row>
    <row r="3" ht="6" customHeight="1" s="246">
      <c r="A3" s="12" t="n"/>
      <c r="B3" s="12" t="n"/>
      <c r="C3" s="12" t="n"/>
      <c r="D3" s="12" t="n"/>
      <c r="E3" s="12" t="n"/>
      <c r="F3" s="12" t="n"/>
    </row>
    <row r="4" ht="19.75" customFormat="1" customHeight="1" s="2">
      <c r="A4" s="13" t="inlineStr">
        <is>
          <t>试剂盒批次</t>
        </is>
      </c>
      <c r="B4" s="14" t="inlineStr">
        <is>
          <t>芯片号</t>
        </is>
      </c>
      <c r="C4" s="14" t="inlineStr">
        <is>
          <t>上机日期</t>
        </is>
      </c>
      <c r="D4" s="14" t="inlineStr">
        <is>
          <t>测序仪编号</t>
        </is>
      </c>
      <c r="E4" s="14" t="inlineStr">
        <is>
          <t>操作人</t>
        </is>
      </c>
      <c r="F4" s="15" t="inlineStr">
        <is>
          <t>复核人</t>
        </is>
      </c>
    </row>
    <row r="5" ht="19.75" customFormat="1" customHeight="1" s="2">
      <c r="A5" s="16" t="n"/>
      <c r="B5" s="17" t="n"/>
      <c r="C5" s="17" t="n"/>
      <c r="D5" s="17" t="n"/>
      <c r="E5" s="17" t="n"/>
      <c r="F5" s="18" t="n"/>
    </row>
    <row r="6" ht="6.65" customFormat="1" customHeight="1" s="2">
      <c r="A6" s="19" t="n"/>
      <c r="B6" s="20" t="n"/>
      <c r="C6" s="20" t="n"/>
      <c r="D6" s="20" t="n"/>
      <c r="E6" s="20" t="n"/>
      <c r="F6" s="20" t="n"/>
    </row>
    <row r="7" ht="36" customFormat="1" customHeight="1" s="2">
      <c r="A7" s="13" t="inlineStr">
        <is>
          <t>加载体系</t>
        </is>
      </c>
      <c r="B7" s="14" t="inlineStr">
        <is>
          <t>试剂名称</t>
        </is>
      </c>
      <c r="C7" s="252" t="n"/>
      <c r="D7" s="253" t="n"/>
      <c r="E7" s="21" t="inlineStr">
        <is>
          <t>加入量(μL)</t>
        </is>
      </c>
      <c r="F7" s="22" t="inlineStr">
        <is>
          <t>确认</t>
        </is>
      </c>
    </row>
    <row r="8" ht="20.4" customFormat="1" customHeight="1" s="2">
      <c r="A8" s="291" t="n"/>
      <c r="B8" s="24" t="inlineStr">
        <is>
          <t>总DNB</t>
        </is>
      </c>
      <c r="C8" s="261" t="n"/>
      <c r="D8" s="254" t="n"/>
      <c r="E8" s="24" t="n">
        <v>100</v>
      </c>
      <c r="F8" s="25" t="n"/>
    </row>
    <row r="9" ht="20.4" customFormat="1" customHeight="1" s="2">
      <c r="A9" s="291" t="n"/>
      <c r="B9" s="24" t="inlineStr">
        <is>
          <t xml:space="preserve"> DNB加载缓冲液II</t>
        </is>
      </c>
      <c r="C9" s="261" t="n"/>
      <c r="D9" s="254" t="n"/>
      <c r="E9" s="24" t="n">
        <v>32</v>
      </c>
      <c r="F9" s="25" t="n"/>
    </row>
    <row r="10" ht="20.4" customFormat="1" customHeight="1" s="2">
      <c r="A10" s="292" t="n"/>
      <c r="B10" s="17" t="inlineStr">
        <is>
          <t>DNB聚合酶混合液II</t>
        </is>
      </c>
      <c r="C10" s="266" t="n"/>
      <c r="D10" s="262" t="n"/>
      <c r="E10" s="17" t="n">
        <v>1</v>
      </c>
      <c r="F10" s="18" t="n"/>
    </row>
    <row r="11" ht="6.65" customFormat="1" customHeight="1" s="2">
      <c r="A11" s="183" t="n"/>
      <c r="B11" s="183" t="n"/>
      <c r="C11" s="183" t="n"/>
      <c r="D11" s="183" t="n"/>
      <c r="E11" s="183" t="n"/>
      <c r="F11" s="183" t="n"/>
    </row>
    <row r="12" ht="31.25" customFormat="1" customHeight="1" s="2">
      <c r="A12" s="27" t="inlineStr">
        <is>
          <t>测序试剂配制（SE35 FCL）</t>
        </is>
      </c>
      <c r="B12" s="14" t="inlineStr">
        <is>
          <t>试剂名称</t>
        </is>
      </c>
      <c r="C12" s="253" t="n"/>
      <c r="D12" s="14" t="inlineStr">
        <is>
          <t>孔位</t>
        </is>
      </c>
      <c r="E12" s="21" t="inlineStr">
        <is>
          <t>加入量(μL)</t>
        </is>
      </c>
      <c r="F12" s="22" t="inlineStr">
        <is>
          <t>确认</t>
        </is>
      </c>
    </row>
    <row r="13" ht="31.25" customFormat="1" customHeight="1" s="2">
      <c r="A13" s="291" t="n"/>
      <c r="B13" s="24" t="inlineStr">
        <is>
          <t>dNTPs混合液</t>
        </is>
      </c>
      <c r="C13" s="254" t="n"/>
      <c r="D13" s="24" t="n">
        <v>1</v>
      </c>
      <c r="E13" s="24" t="n">
        <v>600</v>
      </c>
      <c r="F13" s="25" t="n"/>
    </row>
    <row r="14" ht="31.25" customFormat="1" customHeight="1" s="2">
      <c r="A14" s="291" t="n"/>
      <c r="B14" s="24" t="inlineStr">
        <is>
          <t>dNTPs混合液II</t>
        </is>
      </c>
      <c r="C14" s="254" t="n"/>
      <c r="D14" s="24" t="n">
        <v>2</v>
      </c>
      <c r="E14" s="24" t="n">
        <v>500</v>
      </c>
      <c r="F14" s="25" t="n"/>
    </row>
    <row r="15" ht="31.25" customFormat="1" customHeight="1" s="2">
      <c r="A15" s="291" t="n"/>
      <c r="B15" s="24" t="inlineStr">
        <is>
          <t>DNA聚合酶混合液</t>
        </is>
      </c>
      <c r="C15" s="254" t="n"/>
      <c r="D15" s="24" t="n">
        <v>1</v>
      </c>
      <c r="E15" s="24" t="n">
        <v>600</v>
      </c>
      <c r="F15" s="25" t="n"/>
    </row>
    <row r="16" ht="31.25" customFormat="1" customHeight="1" s="2">
      <c r="A16" s="292" t="n"/>
      <c r="B16" s="24" t="inlineStr">
        <is>
          <t>DNA聚合酶混合液</t>
        </is>
      </c>
      <c r="C16" s="254" t="n"/>
      <c r="D16" s="24" t="n">
        <v>2</v>
      </c>
      <c r="E16" s="24" t="n">
        <v>500</v>
      </c>
      <c r="F16" s="25" t="n"/>
    </row>
    <row r="17" ht="31.25" customHeight="1" s="246">
      <c r="A17" s="29" t="inlineStr">
        <is>
          <t>测序试剂配制（SE50/60 FCL）</t>
        </is>
      </c>
      <c r="B17" s="24" t="inlineStr">
        <is>
          <t>试剂名称</t>
        </is>
      </c>
      <c r="C17" s="254" t="n"/>
      <c r="D17" s="24" t="inlineStr">
        <is>
          <t>孔位</t>
        </is>
      </c>
      <c r="E17" s="30" t="inlineStr">
        <is>
          <t>加入量(μL)</t>
        </is>
      </c>
      <c r="F17" s="25" t="inlineStr">
        <is>
          <t>确认</t>
        </is>
      </c>
    </row>
    <row r="18" ht="24" customHeight="1" s="246">
      <c r="A18" s="291" t="n"/>
      <c r="B18" s="24" t="inlineStr">
        <is>
          <t>dNTPs混合液</t>
        </is>
      </c>
      <c r="C18" s="254" t="n"/>
      <c r="D18" s="24" t="n">
        <v>1</v>
      </c>
      <c r="E18" s="24" t="n">
        <v>700</v>
      </c>
      <c r="F18" s="25" t="n"/>
    </row>
    <row r="19" ht="24" customHeight="1" s="246">
      <c r="A19" s="291" t="n"/>
      <c r="B19" s="24" t="inlineStr">
        <is>
          <t>dNTPs混合液II</t>
        </is>
      </c>
      <c r="C19" s="254" t="n"/>
      <c r="D19" s="24" t="n">
        <v>2</v>
      </c>
      <c r="E19" s="24" t="n">
        <v>600</v>
      </c>
      <c r="F19" s="25" t="n"/>
    </row>
    <row r="20" ht="24" customHeight="1" s="246">
      <c r="A20" s="291" t="n"/>
      <c r="B20" s="24" t="inlineStr">
        <is>
          <t>DNA聚合酶混合液</t>
        </is>
      </c>
      <c r="C20" s="254" t="n"/>
      <c r="D20" s="24" t="n">
        <v>1</v>
      </c>
      <c r="E20" s="24" t="n">
        <v>700</v>
      </c>
      <c r="F20" s="25" t="n"/>
    </row>
    <row r="21" ht="24" customHeight="1" s="246">
      <c r="A21" s="292" t="n"/>
      <c r="B21" s="24" t="inlineStr">
        <is>
          <t>DNA聚合酶混合液</t>
        </is>
      </c>
      <c r="C21" s="254" t="n"/>
      <c r="D21" s="24" t="n">
        <v>2</v>
      </c>
      <c r="E21" s="24" t="n">
        <v>600</v>
      </c>
      <c r="F21" s="25" t="n"/>
    </row>
    <row r="22" ht="33" customHeight="1" s="246">
      <c r="A22" s="29" t="inlineStr">
        <is>
          <t>测序试剂配制（SE100 FCS）</t>
        </is>
      </c>
      <c r="B22" s="24" t="inlineStr">
        <is>
          <t>试剂名称</t>
        </is>
      </c>
      <c r="C22" s="254" t="n"/>
      <c r="D22" s="24" t="inlineStr">
        <is>
          <t>孔位</t>
        </is>
      </c>
      <c r="E22" s="30" t="inlineStr">
        <is>
          <t>加入量(μL)</t>
        </is>
      </c>
      <c r="F22" s="25" t="inlineStr">
        <is>
          <t>确认</t>
        </is>
      </c>
    </row>
    <row r="23" ht="24" customHeight="1" s="246">
      <c r="A23" s="291" t="n"/>
      <c r="B23" s="24" t="inlineStr">
        <is>
          <t>dNTPs混合液</t>
        </is>
      </c>
      <c r="C23" s="254" t="n"/>
      <c r="D23" s="24" t="n">
        <v>1</v>
      </c>
      <c r="E23" s="24" t="n">
        <v>800</v>
      </c>
      <c r="F23" s="25" t="n"/>
    </row>
    <row r="24" ht="24" customHeight="1" s="246">
      <c r="A24" s="291" t="n"/>
      <c r="B24" s="24" t="inlineStr">
        <is>
          <t>dNTPs混合液II</t>
        </is>
      </c>
      <c r="C24" s="254" t="n"/>
      <c r="D24" s="24" t="n">
        <v>2</v>
      </c>
      <c r="E24" s="24" t="n">
        <v>1600</v>
      </c>
      <c r="F24" s="25" t="n"/>
    </row>
    <row r="25" ht="24" customHeight="1" s="246">
      <c r="A25" s="291" t="n"/>
      <c r="B25" s="24" t="inlineStr">
        <is>
          <t>DNA聚合酶混合液</t>
        </is>
      </c>
      <c r="C25" s="254" t="n"/>
      <c r="D25" s="24" t="n">
        <v>1</v>
      </c>
      <c r="E25" s="24" t="n">
        <v>800</v>
      </c>
      <c r="F25" s="25" t="n"/>
    </row>
    <row r="26" ht="24" customHeight="1" s="246">
      <c r="A26" s="292" t="n"/>
      <c r="B26" s="24" t="inlineStr">
        <is>
          <t>DNA聚合酶混合液</t>
        </is>
      </c>
      <c r="C26" s="254" t="n"/>
      <c r="D26" s="24" t="n">
        <v>2</v>
      </c>
      <c r="E26" s="24" t="n">
        <v>800</v>
      </c>
      <c r="F26" s="25" t="n"/>
    </row>
    <row r="27" ht="30.65" customHeight="1" s="246">
      <c r="A27" s="29" t="inlineStr">
        <is>
          <t>测序试剂配制（SE100 FCL）</t>
        </is>
      </c>
      <c r="B27" s="24" t="inlineStr">
        <is>
          <t>试剂名称</t>
        </is>
      </c>
      <c r="C27" s="254" t="n"/>
      <c r="D27" s="24" t="inlineStr">
        <is>
          <t>孔位</t>
        </is>
      </c>
      <c r="E27" s="30" t="inlineStr">
        <is>
          <t>加入量(μL)</t>
        </is>
      </c>
      <c r="F27" s="25" t="inlineStr">
        <is>
          <t>确认</t>
        </is>
      </c>
    </row>
    <row r="28" ht="24" customHeight="1" s="246">
      <c r="A28" s="291" t="n"/>
      <c r="B28" s="24" t="inlineStr">
        <is>
          <t>dNTPs混合液</t>
        </is>
      </c>
      <c r="C28" s="254" t="n"/>
      <c r="D28" s="24" t="n">
        <v>1</v>
      </c>
      <c r="E28" s="24" t="n">
        <v>1100</v>
      </c>
      <c r="F28" s="25" t="n"/>
    </row>
    <row r="29" ht="24" customHeight="1" s="246">
      <c r="A29" s="291" t="n"/>
      <c r="B29" s="24" t="inlineStr">
        <is>
          <t>dNTPs混合液II</t>
        </is>
      </c>
      <c r="C29" s="254" t="n"/>
      <c r="D29" s="24" t="n">
        <v>2</v>
      </c>
      <c r="E29" s="24" t="n">
        <v>900</v>
      </c>
      <c r="F29" s="25" t="n"/>
    </row>
    <row r="30" ht="24" customHeight="1" s="246">
      <c r="A30" s="291" t="n"/>
      <c r="B30" s="24" t="inlineStr">
        <is>
          <t>DNA聚合酶混合液</t>
        </is>
      </c>
      <c r="C30" s="254" t="n"/>
      <c r="D30" s="24" t="n">
        <v>1</v>
      </c>
      <c r="E30" s="24" t="n">
        <v>1100</v>
      </c>
      <c r="F30" s="25" t="n"/>
    </row>
    <row r="31" ht="24" customHeight="1" s="246">
      <c r="A31" s="292" t="n"/>
      <c r="B31" s="17" t="inlineStr">
        <is>
          <t>DNA聚合酶混合液</t>
        </is>
      </c>
      <c r="C31" s="262" t="n"/>
      <c r="D31" s="17" t="n">
        <v>2</v>
      </c>
      <c r="E31" s="17" t="n">
        <v>900</v>
      </c>
      <c r="F31" s="18" t="n"/>
    </row>
    <row r="32" ht="7.25" customHeight="1" s="246">
      <c r="A32" s="32" t="n"/>
      <c r="B32" s="33" t="n"/>
      <c r="C32" s="34" t="n"/>
      <c r="D32" s="35" t="n"/>
      <c r="E32" s="35" t="n"/>
      <c r="F32" s="36" t="n"/>
    </row>
    <row r="33" ht="36" customHeight="1" s="246">
      <c r="A33" s="37" t="inlineStr">
        <is>
          <t>常规清洗确认：</t>
        </is>
      </c>
      <c r="B33" s="38" t="n"/>
      <c r="C33" s="39" t="inlineStr">
        <is>
          <t>磁盘容量(T)：</t>
        </is>
      </c>
      <c r="D33" s="14" t="n"/>
      <c r="E33" s="38" t="inlineStr">
        <is>
          <t>测序仪是否已重启</t>
        </is>
      </c>
      <c r="F33" s="22" t="inlineStr">
        <is>
          <t>□ 是    □ 否</t>
        </is>
      </c>
    </row>
    <row r="34" ht="19.75" customHeight="1" s="246">
      <c r="A34" s="40" t="inlineStr">
        <is>
          <t>芯片安装确认：□</t>
        </is>
      </c>
      <c r="B34" s="285" t="n"/>
      <c r="C34" s="239" t="inlineStr">
        <is>
          <t>芯片清净确认：□</t>
        </is>
      </c>
      <c r="D34" s="24" t="n"/>
      <c r="E34" s="41" t="inlineStr">
        <is>
          <t>负压（kPa）：</t>
        </is>
      </c>
      <c r="F34" s="25" t="n"/>
    </row>
    <row r="35" ht="19.75" customHeight="1" s="246">
      <c r="A35" s="43" t="inlineStr">
        <is>
          <t>上机操作人：                                                                      复核人：                                    测序起始时间：      年     月     日     时</t>
        </is>
      </c>
      <c r="B35" s="286" t="n"/>
      <c r="C35" s="286" t="n"/>
      <c r="D35" s="286" t="n"/>
      <c r="E35" s="286" t="n"/>
      <c r="F35" s="287" t="n"/>
    </row>
    <row r="36" ht="19.75" customHeight="1" s="246"/>
    <row r="37" ht="19.75" customHeight="1" s="246"/>
  </sheetData>
  <mergeCells count="34">
    <mergeCell ref="A12:A16"/>
    <mergeCell ref="B16:C16"/>
    <mergeCell ref="B25:C25"/>
    <mergeCell ref="B8:D8"/>
    <mergeCell ref="B22:C22"/>
    <mergeCell ref="A1:B1"/>
    <mergeCell ref="B31:C31"/>
    <mergeCell ref="B27:C27"/>
    <mergeCell ref="B18:C18"/>
    <mergeCell ref="B12:C12"/>
    <mergeCell ref="B10:D10"/>
    <mergeCell ref="A2:F2"/>
    <mergeCell ref="A17:A21"/>
    <mergeCell ref="B21:C21"/>
    <mergeCell ref="A22:A26"/>
    <mergeCell ref="A7:A10"/>
    <mergeCell ref="B23:C23"/>
    <mergeCell ref="B9:D9"/>
    <mergeCell ref="B14:C14"/>
    <mergeCell ref="A35:F35"/>
    <mergeCell ref="B17:C17"/>
    <mergeCell ref="B13:C13"/>
    <mergeCell ref="B29:C29"/>
    <mergeCell ref="B19:C19"/>
    <mergeCell ref="B28:C28"/>
    <mergeCell ref="C1:F1"/>
    <mergeCell ref="B7:D7"/>
    <mergeCell ref="B24:C24"/>
    <mergeCell ref="B30:C30"/>
    <mergeCell ref="B15:C15"/>
    <mergeCell ref="A27:A31"/>
    <mergeCell ref="B20:C20"/>
    <mergeCell ref="B26:C26"/>
    <mergeCell ref="A34:B34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徐昳晗(vicky.xu)</dc:creator>
  <dcterms:created xmlns:dcterms="http://purl.org/dc/terms/" xmlns:xsi="http://www.w3.org/2001/XMLSchema-instance" xsi:type="dcterms:W3CDTF">2025-01-20T08:30:00Z</dcterms:created>
  <dcterms:modified xmlns:dcterms="http://purl.org/dc/terms/" xmlns:xsi="http://www.w3.org/2001/XMLSchema-instance" xsi:type="dcterms:W3CDTF">2026-08-30T17:07:09Z</dcterms:modified>
  <cp:lastModifiedBy>高源</cp:lastModifiedBy>
  <cp:lastPrinted>2025-01-21T01:20:00Z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0E76F028765B4B43A3C6BEA4E1289A25_13</vt:lpwstr>
  </property>
  <property name="KSOProductBuildVer" fmtid="{D5CDD505-2E9C-101B-9397-08002B2CF9AE}" pid="3">
    <vt:lpwstr xmlns:vt="http://schemas.openxmlformats.org/officeDocument/2006/docPropsVTypes">2052-12.1.0.24031</vt:lpwstr>
  </property>
  <property name="CalculationRule" fmtid="{D5CDD505-2E9C-101B-9397-08002B2CF9AE}" pid="4">
    <vt:i4 xmlns:vt="http://schemas.openxmlformats.org/officeDocument/2006/docPropsVTypes">0</vt:i4>
  </property>
</Properties>
</file>
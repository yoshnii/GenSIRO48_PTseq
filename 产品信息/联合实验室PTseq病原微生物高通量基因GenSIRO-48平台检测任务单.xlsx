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90" activeTab="5"/>
  </bookViews>
  <sheets>
    <sheet name="样本前处理" sheetId="1" r:id="rId1"/>
    <sheet name="GenSIRO-48提取建库" sheetId="2" r:id="rId2"/>
    <sheet name="G99测序" sheetId="3" r:id="rId3"/>
    <sheet name="200测序" sheetId="4" r:id="rId4"/>
    <sheet name="2000测序" sheetId="5" r:id="rId5"/>
    <sheet name="E25测序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<sst xmlns="http://schemas.openxmlformats.org/spreadsheetml/2006/main" count="572" uniqueCount="324">
  <si>
    <r>
      <rPr>
        <sz val="12"/>
        <rFont val="宋体"/>
        <charset val="134"/>
      </rPr>
      <t>联合实验室</t>
    </r>
    <r>
      <rPr>
        <sz val="12"/>
        <rFont val="Times New Roman"/>
        <charset val="134"/>
      </rPr>
      <t>SIRO PTseq</t>
    </r>
    <r>
      <rPr>
        <sz val="12"/>
        <rFont val="宋体"/>
        <charset val="134"/>
      </rPr>
      <t>病原微生物高通量基因检测样本前处理任务单</t>
    </r>
  </si>
  <si>
    <r>
      <rPr>
        <sz val="12"/>
        <rFont val="宋体"/>
        <charset val="134"/>
      </rPr>
      <t>提取日期：</t>
    </r>
  </si>
  <si>
    <r>
      <rPr>
        <sz val="12"/>
        <rFont val="宋体"/>
        <charset val="134"/>
      </rPr>
      <t>试剂盒批次：</t>
    </r>
  </si>
  <si>
    <r>
      <rPr>
        <b/>
        <sz val="12"/>
        <rFont val="宋体"/>
        <charset val="134"/>
      </rPr>
      <t>内标准备</t>
    </r>
  </si>
  <si>
    <r>
      <rPr>
        <sz val="12"/>
        <color theme="1"/>
        <rFont val="宋体"/>
        <charset val="134"/>
      </rPr>
      <t>内标名称</t>
    </r>
  </si>
  <si>
    <r>
      <rPr>
        <sz val="12"/>
        <color theme="1"/>
        <rFont val="宋体"/>
        <charset val="134"/>
      </rPr>
      <t>最少取样量</t>
    </r>
    <r>
      <rPr>
        <sz val="12"/>
        <color theme="1"/>
        <rFont val="Times New Roman"/>
        <charset val="134"/>
      </rPr>
      <t>(μL)</t>
    </r>
  </si>
  <si>
    <r>
      <rPr>
        <sz val="12"/>
        <color theme="1"/>
        <rFont val="宋体"/>
        <charset val="134"/>
      </rPr>
      <t>配制份数</t>
    </r>
  </si>
  <si>
    <r>
      <rPr>
        <sz val="12"/>
        <color theme="1"/>
        <rFont val="宋体"/>
        <charset val="134"/>
      </rPr>
      <t>体积</t>
    </r>
    <r>
      <rPr>
        <sz val="12"/>
        <color theme="1"/>
        <rFont val="Times New Roman"/>
        <charset val="134"/>
      </rPr>
      <t>(μL)</t>
    </r>
  </si>
  <si>
    <r>
      <rPr>
        <sz val="12"/>
        <color theme="1"/>
        <rFont val="宋体"/>
        <charset val="134"/>
      </rPr>
      <t>确认打</t>
    </r>
    <r>
      <rPr>
        <sz val="12"/>
        <color theme="1"/>
        <rFont val="Times New Roman"/>
        <charset val="134"/>
      </rPr>
      <t>√</t>
    </r>
  </si>
  <si>
    <r>
      <rPr>
        <sz val="12"/>
        <color theme="1"/>
        <rFont val="宋体"/>
        <charset val="134"/>
      </rPr>
      <t>备注</t>
    </r>
  </si>
  <si>
    <r>
      <t>40×</t>
    </r>
    <r>
      <rPr>
        <sz val="12"/>
        <color theme="1"/>
        <rFont val="宋体"/>
        <charset val="134"/>
      </rPr>
      <t>内标</t>
    </r>
  </si>
  <si>
    <r>
      <t xml:space="preserve">T15 </t>
    </r>
    <r>
      <rPr>
        <sz val="12"/>
        <color theme="1"/>
        <rFont val="宋体"/>
        <charset val="134"/>
      </rPr>
      <t>内标</t>
    </r>
  </si>
  <si>
    <r>
      <rPr>
        <sz val="12"/>
        <color theme="1"/>
        <rFont val="宋体"/>
        <charset val="134"/>
      </rPr>
      <t>现用现配</t>
    </r>
  </si>
  <si>
    <r>
      <rPr>
        <sz val="12"/>
        <color theme="1"/>
        <rFont val="宋体"/>
        <charset val="134"/>
      </rPr>
      <t>无核酸酶水</t>
    </r>
  </si>
  <si>
    <r>
      <rPr>
        <b/>
        <sz val="12"/>
        <color theme="1"/>
        <rFont val="宋体"/>
        <charset val="134"/>
      </rPr>
      <t>试剂配制</t>
    </r>
  </si>
  <si>
    <r>
      <t>48</t>
    </r>
    <r>
      <rPr>
        <b/>
        <sz val="12"/>
        <color theme="1"/>
        <rFont val="宋体"/>
        <charset val="134"/>
      </rPr>
      <t>人份试剂</t>
    </r>
  </si>
  <si>
    <r>
      <t>16</t>
    </r>
    <r>
      <rPr>
        <b/>
        <sz val="12"/>
        <color theme="1"/>
        <rFont val="宋体"/>
        <charset val="134"/>
      </rPr>
      <t>人份试剂</t>
    </r>
  </si>
  <si>
    <r>
      <rPr>
        <b/>
        <sz val="12"/>
        <color theme="1"/>
        <rFont val="宋体"/>
        <charset val="134"/>
      </rPr>
      <t>试剂名称</t>
    </r>
  </si>
  <si>
    <r>
      <rPr>
        <b/>
        <sz val="12"/>
        <color theme="1"/>
        <rFont val="宋体"/>
        <charset val="134"/>
      </rPr>
      <t>消泡剂加入量</t>
    </r>
  </si>
  <si>
    <r>
      <rPr>
        <b/>
        <sz val="12"/>
        <color theme="1"/>
        <rFont val="宋体"/>
        <charset val="134"/>
      </rPr>
      <t>确认打</t>
    </r>
    <r>
      <rPr>
        <b/>
        <sz val="12"/>
        <color theme="1"/>
        <rFont val="Times New Roman"/>
        <charset val="134"/>
      </rPr>
      <t>√</t>
    </r>
  </si>
  <si>
    <r>
      <rPr>
        <sz val="12"/>
        <color theme="1"/>
        <rFont val="宋体"/>
        <charset val="134"/>
      </rPr>
      <t>裂解液</t>
    </r>
  </si>
  <si>
    <t>60μL</t>
  </si>
  <si>
    <t>20μL</t>
  </si>
  <si>
    <r>
      <rPr>
        <b/>
        <sz val="12"/>
        <color theme="1"/>
        <rFont val="宋体"/>
        <charset val="134"/>
      </rPr>
      <t>无水乙醇加入量</t>
    </r>
  </si>
  <si>
    <r>
      <rPr>
        <sz val="12"/>
        <color theme="1"/>
        <rFont val="宋体"/>
        <charset val="134"/>
      </rPr>
      <t>清洗液</t>
    </r>
    <r>
      <rPr>
        <sz val="12"/>
        <color theme="1"/>
        <rFont val="Times New Roman"/>
        <charset val="134"/>
      </rPr>
      <t>A</t>
    </r>
  </si>
  <si>
    <t>69mL</t>
  </si>
  <si>
    <t>23mL</t>
  </si>
  <si>
    <r>
      <rPr>
        <sz val="12"/>
        <color theme="1"/>
        <rFont val="宋体"/>
        <charset val="134"/>
      </rPr>
      <t>清洗液</t>
    </r>
    <r>
      <rPr>
        <sz val="12"/>
        <color theme="1"/>
        <rFont val="Times New Roman"/>
        <charset val="134"/>
      </rPr>
      <t>B</t>
    </r>
  </si>
  <si>
    <t>96mL</t>
  </si>
  <si>
    <t>32mL</t>
  </si>
  <si>
    <r>
      <rPr>
        <b/>
        <sz val="12"/>
        <rFont val="宋体"/>
        <charset val="134"/>
      </rPr>
      <t>提取反应液</t>
    </r>
    <r>
      <rPr>
        <b/>
        <sz val="12"/>
        <rFont val="Times New Roman"/>
        <charset val="134"/>
      </rPr>
      <t>mix</t>
    </r>
    <r>
      <rPr>
        <b/>
        <sz val="12"/>
        <rFont val="宋体"/>
        <charset val="134"/>
      </rPr>
      <t>配制</t>
    </r>
  </si>
  <si>
    <r>
      <rPr>
        <sz val="12"/>
        <color theme="1"/>
        <rFont val="宋体"/>
        <charset val="134"/>
      </rPr>
      <t>组分名称</t>
    </r>
  </si>
  <si>
    <r>
      <rPr>
        <sz val="12"/>
        <color theme="1"/>
        <rFont val="宋体"/>
        <charset val="134"/>
      </rPr>
      <t>单个用量（</t>
    </r>
    <r>
      <rPr>
        <sz val="12"/>
        <color theme="1"/>
        <rFont val="Times New Roman"/>
        <charset val="134"/>
      </rPr>
      <t>μL</t>
    </r>
    <r>
      <rPr>
        <sz val="12"/>
        <color theme="1"/>
        <rFont val="宋体"/>
        <charset val="134"/>
      </rPr>
      <t>）</t>
    </r>
  </si>
  <si>
    <r>
      <rPr>
        <sz val="12"/>
        <color theme="1"/>
        <rFont val="宋体"/>
        <charset val="134"/>
      </rPr>
      <t>个数</t>
    </r>
  </si>
  <si>
    <r>
      <rPr>
        <sz val="12"/>
        <color theme="1"/>
        <rFont val="宋体"/>
        <charset val="134"/>
      </rPr>
      <t>体积（</t>
    </r>
    <r>
      <rPr>
        <sz val="12"/>
        <color theme="1"/>
        <rFont val="Times New Roman"/>
        <charset val="134"/>
      </rPr>
      <t>μL</t>
    </r>
    <r>
      <rPr>
        <sz val="12"/>
        <color theme="1"/>
        <rFont val="宋体"/>
        <charset val="134"/>
      </rPr>
      <t>）</t>
    </r>
  </si>
  <si>
    <r>
      <rPr>
        <sz val="12"/>
        <color theme="1"/>
        <rFont val="宋体"/>
        <charset val="134"/>
      </rPr>
      <t>裂解液（已加消泡剂）</t>
    </r>
  </si>
  <si>
    <r>
      <rPr>
        <sz val="12"/>
        <color theme="1"/>
        <rFont val="宋体"/>
        <charset val="134"/>
      </rPr>
      <t>结合液</t>
    </r>
  </si>
  <si>
    <r>
      <rPr>
        <sz val="12"/>
        <color theme="1"/>
        <rFont val="宋体"/>
        <charset val="134"/>
      </rPr>
      <t>蛋白酶</t>
    </r>
    <r>
      <rPr>
        <sz val="12"/>
        <color theme="1"/>
        <rFont val="Times New Roman"/>
        <charset val="134"/>
      </rPr>
      <t>K</t>
    </r>
  </si>
  <si>
    <t>T13 DTT</t>
  </si>
  <si>
    <r>
      <t>T14 RNA</t>
    </r>
    <r>
      <rPr>
        <sz val="12"/>
        <color theme="1"/>
        <rFont val="宋体"/>
        <charset val="134"/>
      </rPr>
      <t>酶抑制剂</t>
    </r>
  </si>
  <si>
    <r>
      <t>T15</t>
    </r>
    <r>
      <rPr>
        <sz val="12"/>
        <color theme="1"/>
        <rFont val="宋体"/>
        <charset val="134"/>
      </rPr>
      <t>内标</t>
    </r>
  </si>
  <si>
    <r>
      <rPr>
        <b/>
        <sz val="12"/>
        <color theme="1"/>
        <rFont val="宋体"/>
        <charset val="134"/>
      </rPr>
      <t>样本前处理</t>
    </r>
  </si>
  <si>
    <r>
      <t xml:space="preserve">1. </t>
    </r>
    <r>
      <rPr>
        <sz val="12"/>
        <color theme="1"/>
        <rFont val="宋体"/>
        <charset val="134"/>
      </rPr>
      <t>呼吸道样本灭活：</t>
    </r>
    <r>
      <rPr>
        <sz val="12"/>
        <color theme="1"/>
        <rFont val="Times New Roman"/>
        <charset val="134"/>
      </rPr>
      <t>70℃</t>
    </r>
    <r>
      <rPr>
        <sz val="12"/>
        <color theme="1"/>
        <rFont val="宋体"/>
        <charset val="134"/>
      </rPr>
      <t>烘箱灭活</t>
    </r>
    <r>
      <rPr>
        <sz val="12"/>
        <color theme="1"/>
        <rFont val="Times New Roman"/>
        <charset val="134"/>
      </rPr>
      <t>30min</t>
    </r>
    <r>
      <rPr>
        <sz val="12"/>
        <color theme="1"/>
        <rFont val="宋体"/>
        <charset val="134"/>
      </rPr>
      <t>。</t>
    </r>
  </si>
  <si>
    <r>
      <t xml:space="preserve">2. </t>
    </r>
    <r>
      <rPr>
        <sz val="12"/>
        <color theme="1"/>
        <rFont val="宋体"/>
        <charset val="134"/>
      </rPr>
      <t>粘稠或浑浊样本：取</t>
    </r>
    <r>
      <rPr>
        <sz val="12"/>
        <color theme="1"/>
        <rFont val="Times New Roman"/>
        <charset val="134"/>
      </rPr>
      <t>350μL</t>
    </r>
    <r>
      <rPr>
        <sz val="12"/>
        <color theme="1"/>
        <rFont val="宋体"/>
        <charset val="134"/>
      </rPr>
      <t>样本加入到</t>
    </r>
    <r>
      <rPr>
        <sz val="12"/>
        <color theme="1"/>
        <rFont val="Times New Roman"/>
        <charset val="134"/>
      </rPr>
      <t>1.5mL EP</t>
    </r>
    <r>
      <rPr>
        <sz val="12"/>
        <color theme="1"/>
        <rFont val="宋体"/>
        <charset val="134"/>
      </rPr>
      <t>管中，加入</t>
    </r>
    <r>
      <rPr>
        <sz val="12"/>
        <color theme="1"/>
        <rFont val="Times New Roman"/>
        <charset val="134"/>
      </rPr>
      <t>350μL PBS</t>
    </r>
    <r>
      <rPr>
        <sz val="12"/>
        <color theme="1"/>
        <rFont val="宋体"/>
        <charset val="134"/>
      </rPr>
      <t>，再加入</t>
    </r>
    <r>
      <rPr>
        <sz val="12"/>
        <color theme="1"/>
        <rFont val="Times New Roman"/>
        <charset val="134"/>
      </rPr>
      <t>20μL</t>
    </r>
    <r>
      <rPr>
        <sz val="12"/>
        <color theme="1"/>
        <rFont val="宋体"/>
        <charset val="134"/>
      </rPr>
      <t>液化液（核酸提取或纯化试剂），振荡</t>
    </r>
    <r>
      <rPr>
        <sz val="12"/>
        <color theme="1"/>
        <rFont val="Times New Roman"/>
        <charset val="134"/>
      </rPr>
      <t>20s</t>
    </r>
    <r>
      <rPr>
        <sz val="12"/>
        <color theme="1"/>
        <rFont val="宋体"/>
        <charset val="134"/>
      </rPr>
      <t>，</t>
    </r>
    <r>
      <rPr>
        <sz val="12"/>
        <color theme="1"/>
        <rFont val="Times New Roman"/>
        <charset val="134"/>
      </rPr>
      <t>65℃</t>
    </r>
    <r>
      <rPr>
        <sz val="12"/>
        <color theme="1"/>
        <rFont val="宋体"/>
        <charset val="134"/>
      </rPr>
      <t>孵育</t>
    </r>
    <r>
      <rPr>
        <sz val="12"/>
        <color theme="1"/>
        <rFont val="Times New Roman"/>
        <charset val="134"/>
      </rPr>
      <t>5min</t>
    </r>
    <r>
      <rPr>
        <sz val="12"/>
        <color theme="1"/>
        <rFont val="宋体"/>
        <charset val="134"/>
      </rPr>
      <t>后，再振荡</t>
    </r>
    <r>
      <rPr>
        <sz val="12"/>
        <color theme="1"/>
        <rFont val="Times New Roman"/>
        <charset val="134"/>
      </rPr>
      <t>20s</t>
    </r>
    <r>
      <rPr>
        <sz val="12"/>
        <color theme="1"/>
        <rFont val="宋体"/>
        <charset val="134"/>
      </rPr>
      <t>。</t>
    </r>
  </si>
  <si>
    <r>
      <t xml:space="preserve">3. </t>
    </r>
    <r>
      <rPr>
        <sz val="12"/>
        <color theme="1"/>
        <rFont val="宋体"/>
        <charset val="134"/>
      </rPr>
      <t>果冻样本：取</t>
    </r>
    <r>
      <rPr>
        <sz val="12"/>
        <color theme="1"/>
        <rFont val="Times New Roman"/>
        <charset val="134"/>
      </rPr>
      <t xml:space="preserve"> 150µL </t>
    </r>
    <r>
      <rPr>
        <sz val="12"/>
        <color theme="1"/>
        <rFont val="宋体"/>
        <charset val="134"/>
      </rPr>
      <t>样本（如移液器取不出，用枪头或手术刀切断）加入</t>
    </r>
    <r>
      <rPr>
        <sz val="12"/>
        <color theme="1"/>
        <rFont val="Times New Roman"/>
        <charset val="134"/>
      </rPr>
      <t>1.5mL EP</t>
    </r>
    <r>
      <rPr>
        <sz val="12"/>
        <color theme="1"/>
        <rFont val="宋体"/>
        <charset val="134"/>
      </rPr>
      <t>管中，向</t>
    </r>
    <r>
      <rPr>
        <sz val="12"/>
        <color theme="1"/>
        <rFont val="Times New Roman"/>
        <charset val="134"/>
      </rPr>
      <t>EP</t>
    </r>
    <r>
      <rPr>
        <sz val="12"/>
        <color theme="1"/>
        <rFont val="宋体"/>
        <charset val="134"/>
      </rPr>
      <t>管中加入</t>
    </r>
    <r>
      <rPr>
        <sz val="12"/>
        <color theme="1"/>
        <rFont val="Times New Roman"/>
        <charset val="134"/>
      </rPr>
      <t>450μL PBS</t>
    </r>
    <r>
      <rPr>
        <sz val="12"/>
        <color theme="1"/>
        <rFont val="宋体"/>
        <charset val="134"/>
      </rPr>
      <t>与</t>
    </r>
    <r>
      <rPr>
        <sz val="12"/>
        <color theme="1"/>
        <rFont val="Times New Roman"/>
        <charset val="134"/>
      </rPr>
      <t xml:space="preserve">20µL </t>
    </r>
    <r>
      <rPr>
        <sz val="12"/>
        <color theme="1"/>
        <rFont val="宋体"/>
        <charset val="134"/>
      </rPr>
      <t>液化液（核酸提取或纯化试剂），充分振荡</t>
    </r>
    <r>
      <rPr>
        <sz val="12"/>
        <color theme="1"/>
        <rFont val="Times New Roman"/>
        <charset val="134"/>
      </rPr>
      <t>20s</t>
    </r>
    <r>
      <rPr>
        <sz val="12"/>
        <color theme="1"/>
        <rFont val="宋体"/>
        <charset val="134"/>
      </rPr>
      <t>，</t>
    </r>
    <r>
      <rPr>
        <sz val="12"/>
        <color theme="1"/>
        <rFont val="Times New Roman"/>
        <charset val="134"/>
      </rPr>
      <t>65℃</t>
    </r>
    <r>
      <rPr>
        <sz val="12"/>
        <color theme="1"/>
        <rFont val="宋体"/>
        <charset val="134"/>
      </rPr>
      <t>孵育</t>
    </r>
    <r>
      <rPr>
        <sz val="12"/>
        <color theme="1"/>
        <rFont val="Times New Roman"/>
        <charset val="134"/>
      </rPr>
      <t>5min</t>
    </r>
    <r>
      <rPr>
        <sz val="12"/>
        <color theme="1"/>
        <rFont val="宋体"/>
        <charset val="134"/>
      </rPr>
      <t>后，再充分振荡</t>
    </r>
    <r>
      <rPr>
        <sz val="12"/>
        <color theme="1"/>
        <rFont val="Times New Roman"/>
        <charset val="134"/>
      </rPr>
      <t>20s</t>
    </r>
    <r>
      <rPr>
        <sz val="12"/>
        <color theme="1"/>
        <rFont val="宋体"/>
        <charset val="134"/>
      </rPr>
      <t>。</t>
    </r>
  </si>
  <si>
    <r>
      <rPr>
        <b/>
        <sz val="12"/>
        <color theme="1"/>
        <rFont val="宋体"/>
        <charset val="134"/>
      </rPr>
      <t>样本裂解</t>
    </r>
  </si>
  <si>
    <r>
      <t>1.</t>
    </r>
    <r>
      <rPr>
        <sz val="12"/>
        <color theme="1"/>
        <rFont val="宋体"/>
        <charset val="134"/>
      </rPr>
      <t>取样本、阴性对照品和阳性对照品</t>
    </r>
    <r>
      <rPr>
        <sz val="12"/>
        <color theme="1"/>
        <rFont val="Times New Roman"/>
        <charset val="134"/>
      </rPr>
      <t xml:space="preserve">350μL </t>
    </r>
    <r>
      <rPr>
        <sz val="12"/>
        <color theme="1"/>
        <rFont val="宋体"/>
        <charset val="134"/>
      </rPr>
      <t>于干净的研磨管中，加入</t>
    </r>
    <r>
      <rPr>
        <sz val="12"/>
        <color theme="1"/>
        <rFont val="Times New Roman"/>
        <charset val="134"/>
      </rPr>
      <t xml:space="preserve"> 400μL</t>
    </r>
    <r>
      <rPr>
        <sz val="12"/>
        <color theme="1"/>
        <rFont val="宋体"/>
        <charset val="134"/>
      </rPr>
      <t>提取反应液</t>
    </r>
    <r>
      <rPr>
        <sz val="12"/>
        <color theme="1"/>
        <rFont val="Times New Roman"/>
        <charset val="134"/>
      </rPr>
      <t>mix</t>
    </r>
    <r>
      <rPr>
        <sz val="12"/>
        <color theme="1"/>
        <rFont val="宋体"/>
        <charset val="134"/>
      </rPr>
      <t>。将研磨管放置到新纵科匀浆仪按照</t>
    </r>
    <r>
      <rPr>
        <sz val="12"/>
        <color theme="1"/>
        <rFont val="Times New Roman"/>
        <charset val="134"/>
      </rPr>
      <t xml:space="preserve"> 4500rpm</t>
    </r>
    <r>
      <rPr>
        <sz val="12"/>
        <color theme="1"/>
        <rFont val="宋体"/>
        <charset val="134"/>
      </rPr>
      <t>，</t>
    </r>
    <r>
      <rPr>
        <sz val="12"/>
        <color theme="1"/>
        <rFont val="Times New Roman"/>
        <charset val="134"/>
      </rPr>
      <t xml:space="preserve">45s </t>
    </r>
    <r>
      <rPr>
        <sz val="12"/>
        <color theme="1"/>
        <rFont val="宋体"/>
        <charset val="134"/>
      </rPr>
      <t>，间隔</t>
    </r>
    <r>
      <rPr>
        <sz val="12"/>
        <color theme="1"/>
        <rFont val="Times New Roman"/>
        <charset val="134"/>
      </rPr>
      <t>2min</t>
    </r>
    <r>
      <rPr>
        <sz val="12"/>
        <color theme="1"/>
        <rFont val="宋体"/>
        <charset val="134"/>
      </rPr>
      <t>，</t>
    </r>
    <r>
      <rPr>
        <sz val="12"/>
        <color theme="1"/>
        <rFont val="Times New Roman"/>
        <charset val="134"/>
      </rPr>
      <t xml:space="preserve">2cycles </t>
    </r>
    <r>
      <rPr>
        <sz val="12"/>
        <color theme="1"/>
        <rFont val="宋体"/>
        <charset val="134"/>
      </rPr>
      <t>进行匀浆处理。</t>
    </r>
    <r>
      <rPr>
        <sz val="12"/>
        <color theme="1"/>
        <rFont val="Times New Roman"/>
        <charset val="134"/>
      </rPr>
      <t xml:space="preserve">
2.</t>
    </r>
    <r>
      <rPr>
        <sz val="12"/>
        <color theme="1"/>
        <rFont val="宋体"/>
        <charset val="134"/>
      </rPr>
      <t>研磨结束后，</t>
    </r>
    <r>
      <rPr>
        <sz val="12"/>
        <color theme="1"/>
        <rFont val="Times New Roman"/>
        <charset val="134"/>
      </rPr>
      <t>10000rpm</t>
    </r>
    <r>
      <rPr>
        <sz val="12"/>
        <color theme="1"/>
        <rFont val="宋体"/>
        <charset val="134"/>
      </rPr>
      <t>离心</t>
    </r>
    <r>
      <rPr>
        <sz val="12"/>
        <color theme="1"/>
        <rFont val="Times New Roman"/>
        <charset val="134"/>
      </rPr>
      <t>30s</t>
    </r>
    <r>
      <rPr>
        <sz val="12"/>
        <color theme="1"/>
        <rFont val="宋体"/>
        <charset val="134"/>
      </rPr>
      <t>。取</t>
    </r>
    <r>
      <rPr>
        <sz val="12"/>
        <color theme="1"/>
        <rFont val="Times New Roman"/>
        <charset val="134"/>
      </rPr>
      <t xml:space="preserve"> 425μL </t>
    </r>
    <r>
      <rPr>
        <sz val="12"/>
        <color theme="1"/>
        <rFont val="宋体"/>
        <charset val="134"/>
      </rPr>
      <t>上清到新的</t>
    </r>
    <r>
      <rPr>
        <sz val="12"/>
        <color theme="1"/>
        <rFont val="Times New Roman"/>
        <charset val="134"/>
      </rPr>
      <t>1.5 mL</t>
    </r>
    <r>
      <rPr>
        <sz val="12"/>
        <color theme="1"/>
        <rFont val="宋体"/>
        <charset val="134"/>
      </rPr>
      <t>离心管中，</t>
    </r>
    <r>
      <rPr>
        <sz val="12"/>
        <color theme="1"/>
        <rFont val="Times New Roman"/>
        <charset val="134"/>
      </rPr>
      <t xml:space="preserve">56°C </t>
    </r>
    <r>
      <rPr>
        <sz val="12"/>
        <color theme="1"/>
        <rFont val="宋体"/>
        <charset val="134"/>
      </rPr>
      <t>温浴</t>
    </r>
    <r>
      <rPr>
        <sz val="12"/>
        <color theme="1"/>
        <rFont val="Times New Roman"/>
        <charset val="134"/>
      </rPr>
      <t xml:space="preserve"> 10min</t>
    </r>
    <r>
      <rPr>
        <sz val="12"/>
        <color theme="1"/>
        <rFont val="宋体"/>
        <charset val="134"/>
      </rPr>
      <t>。（请小心转移上清，勿将玻璃珠吸出，可将研磨管轻微倾斜，枪头紧贴侧壁随液面缓慢下移吸取上清。</t>
    </r>
  </si>
  <si>
    <r>
      <rPr>
        <sz val="12"/>
        <rFont val="宋体"/>
        <charset val="134"/>
      </rPr>
      <t>样本信息</t>
    </r>
  </si>
  <si>
    <r>
      <rPr>
        <sz val="12"/>
        <color theme="1"/>
        <rFont val="宋体"/>
        <charset val="134"/>
      </rPr>
      <t>序号</t>
    </r>
  </si>
  <si>
    <r>
      <rPr>
        <sz val="12"/>
        <color theme="1"/>
        <rFont val="宋体"/>
        <charset val="134"/>
      </rPr>
      <t>样本编号</t>
    </r>
  </si>
  <si>
    <r>
      <rPr>
        <sz val="12"/>
        <color theme="1"/>
        <rFont val="宋体"/>
        <charset val="134"/>
      </rPr>
      <t>类型</t>
    </r>
  </si>
  <si>
    <r>
      <rPr>
        <sz val="12"/>
        <color theme="1"/>
        <rFont val="宋体"/>
        <charset val="134"/>
      </rPr>
      <t>样本备注</t>
    </r>
  </si>
  <si>
    <t>26S2000001</t>
  </si>
  <si>
    <r>
      <rPr>
        <sz val="12"/>
        <color theme="1"/>
        <rFont val="宋体"/>
        <charset val="134"/>
      </rPr>
      <t>对照</t>
    </r>
  </si>
  <si>
    <r>
      <rPr>
        <sz val="12"/>
        <color theme="1"/>
        <rFont val="宋体"/>
        <charset val="134"/>
      </rPr>
      <t>空白对照</t>
    </r>
  </si>
  <si>
    <t>26S2000005</t>
  </si>
  <si>
    <r>
      <rPr>
        <sz val="12"/>
        <color theme="1"/>
        <rFont val="宋体"/>
        <charset val="134"/>
      </rPr>
      <t>鼻咽拭子</t>
    </r>
  </si>
  <si>
    <t>/</t>
  </si>
  <si>
    <t>26S2000002</t>
  </si>
  <si>
    <r>
      <rPr>
        <sz val="12"/>
        <color theme="1"/>
        <rFont val="宋体"/>
        <charset val="134"/>
      </rPr>
      <t>阴性对照</t>
    </r>
  </si>
  <si>
    <t>26S2000006</t>
  </si>
  <si>
    <r>
      <rPr>
        <sz val="12"/>
        <color theme="1"/>
        <rFont val="宋体"/>
        <charset val="134"/>
      </rPr>
      <t>口咽拭子</t>
    </r>
  </si>
  <si>
    <t>26S2000003</t>
  </si>
  <si>
    <r>
      <rPr>
        <sz val="12"/>
        <color theme="1"/>
        <rFont val="宋体"/>
        <charset val="134"/>
      </rPr>
      <t>阳性对照</t>
    </r>
  </si>
  <si>
    <t>26S2000007</t>
  </si>
  <si>
    <r>
      <rPr>
        <sz val="12"/>
        <color theme="1"/>
        <rFont val="宋体"/>
        <charset val="134"/>
      </rPr>
      <t>痰液</t>
    </r>
  </si>
  <si>
    <t>26S2000004</t>
  </si>
  <si>
    <r>
      <rPr>
        <sz val="12"/>
        <color theme="1"/>
        <rFont val="宋体"/>
        <charset val="134"/>
      </rPr>
      <t>肺泡灌洗液</t>
    </r>
  </si>
  <si>
    <t>26S2000008</t>
  </si>
  <si>
    <r>
      <rPr>
        <sz val="12"/>
        <rFont val="宋体"/>
        <charset val="134"/>
      </rPr>
      <t>操作人：</t>
    </r>
  </si>
  <si>
    <r>
      <rPr>
        <sz val="12"/>
        <rFont val="宋体"/>
        <charset val="134"/>
      </rPr>
      <t>复核人：</t>
    </r>
  </si>
  <si>
    <t>联合实验室GenSIRO-48 PTseq病原微生物高通量基因检测样本制备任务单</t>
  </si>
  <si>
    <t>提取日期：</t>
  </si>
  <si>
    <t>试剂盒批次：</t>
  </si>
  <si>
    <t>试剂分装（◎为实验记录所用）</t>
  </si>
  <si>
    <t>提取试剂</t>
  </si>
  <si>
    <t>建库试剂</t>
  </si>
  <si>
    <t>试剂名称</t>
  </si>
  <si>
    <t>耗材</t>
  </si>
  <si>
    <t>样本总数
◎5-8例</t>
  </si>
  <si>
    <t>样本总数
◎9-16例</t>
  </si>
  <si>
    <t>样本总数
◎17-32例</t>
  </si>
  <si>
    <t>样本总数
◎33-48例</t>
  </si>
  <si>
    <t>试剂</t>
  </si>
  <si>
    <t>异丙醇</t>
  </si>
  <si>
    <t>50mL试剂槽</t>
  </si>
  <si>
    <t>◎5mL</t>
  </si>
  <si>
    <t>◎7mL</t>
  </si>
  <si>
    <t>◎11mL</t>
  </si>
  <si>
    <t>◎15mL</t>
  </si>
  <si>
    <t>T1 cDNA引物</t>
  </si>
  <si>
    <t>0.5mL螺旋管</t>
  </si>
  <si>
    <t>◎30μL</t>
  </si>
  <si>
    <t>◎40μL</t>
  </si>
  <si>
    <t>◎70μL</t>
  </si>
  <si>
    <t>◎110μL</t>
  </si>
  <si>
    <t>洗液A</t>
  </si>
  <si>
    <t>◎19mL</t>
  </si>
  <si>
    <t>◎27mL</t>
  </si>
  <si>
    <t>T2 cDNA缓冲液</t>
  </si>
  <si>
    <t>◎50μL</t>
  </si>
  <si>
    <t>◎200μL</t>
  </si>
  <si>
    <t>◎240μL</t>
  </si>
  <si>
    <t>清洗液B-1</t>
  </si>
  <si>
    <t>◎8mL</t>
  </si>
  <si>
    <t>◎13mL</t>
  </si>
  <si>
    <t>◎23mL</t>
  </si>
  <si>
    <t>◎32mL</t>
  </si>
  <si>
    <t>T3 cDNA酶</t>
  </si>
  <si>
    <t>清洗液B-2</t>
  </si>
  <si>
    <t>T4 TA缓冲液</t>
  </si>
  <si>
    <t>2mL螺旋管</t>
  </si>
  <si>
    <t>◎60μL</t>
  </si>
  <si>
    <t>◎100μL</t>
  </si>
  <si>
    <t>◎290μL</t>
  </si>
  <si>
    <t>◎390μL</t>
  </si>
  <si>
    <t>提取磁珠</t>
  </si>
  <si>
    <t>8mL管</t>
  </si>
  <si>
    <t>◎230μL</t>
  </si>
  <si>
    <t>◎450μL</t>
  </si>
  <si>
    <t>◎860μL</t>
  </si>
  <si>
    <t>◎1300μL</t>
  </si>
  <si>
    <t>T5 TA酶</t>
  </si>
  <si>
    <t>◎180μL</t>
  </si>
  <si>
    <t>无核酸酶水</t>
  </si>
  <si>
    <t>◎1040μL</t>
  </si>
  <si>
    <t>◎1840μL</t>
  </si>
  <si>
    <t>◎3360μL</t>
  </si>
  <si>
    <t>◎4880μL</t>
  </si>
  <si>
    <t>T7 PCR Mix</t>
  </si>
  <si>
    <t>◎360μL</t>
  </si>
  <si>
    <t>◎970μL</t>
  </si>
  <si>
    <t>◎1370μL</t>
  </si>
  <si>
    <t>T8 UDG酶</t>
  </si>
  <si>
    <t>◎9μL</t>
  </si>
  <si>
    <t>◎17μL</t>
  </si>
  <si>
    <t>◎48μL</t>
  </si>
  <si>
    <t>◎68μL</t>
  </si>
  <si>
    <t>T2 溶解液</t>
  </si>
  <si>
    <t>◎1500μL</t>
  </si>
  <si>
    <t>◎2200μL</t>
  </si>
  <si>
    <t>◎3880μL</t>
  </si>
  <si>
    <t>◎5360μL</t>
  </si>
  <si>
    <t>T1磁珠</t>
  </si>
  <si>
    <t>◎1400μL</t>
  </si>
  <si>
    <t>◎2400μL</t>
  </si>
  <si>
    <t>◎4400μL</t>
  </si>
  <si>
    <t>◎6400μL</t>
  </si>
  <si>
    <t>矿物油</t>
  </si>
  <si>
    <t>◎880μL</t>
  </si>
  <si>
    <t>◎1440μL</t>
  </si>
  <si>
    <t>◎2240μL</t>
  </si>
  <si>
    <t>◎3200μL</t>
  </si>
  <si>
    <t>80%乙醇</t>
  </si>
  <si>
    <t>◎11000μL</t>
  </si>
  <si>
    <t>◎18800μL</t>
  </si>
  <si>
    <t>◎34400μL</t>
  </si>
  <si>
    <t>◎50000μL</t>
  </si>
  <si>
    <t>Qubit染液（G99、200、2000全流程）</t>
  </si>
  <si>
    <t>50mL避光试剂槽</t>
  </si>
  <si>
    <t>◎9mL</t>
  </si>
  <si>
    <t>◎10mL</t>
  </si>
  <si>
    <t>◎14mL</t>
  </si>
  <si>
    <t>◎17mL</t>
  </si>
  <si>
    <t>Qubit染液（E25全流程）</t>
  </si>
  <si>
    <t>◎21mL</t>
  </si>
  <si>
    <t>◎/</t>
  </si>
  <si>
    <t>无核酸酶水（E25全流程）</t>
  </si>
  <si>
    <t>◎540μL</t>
  </si>
  <si>
    <t>◎760μL</t>
  </si>
  <si>
    <t>◎1190μL</t>
  </si>
  <si>
    <t>T12空白对照(B:个数)</t>
  </si>
  <si>
    <t>◎14*B+6μL</t>
  </si>
  <si>
    <t>DNBSEQ-G99测序试剂分装</t>
  </si>
  <si>
    <t>DNBSEQ-E25测序试剂分装</t>
  </si>
  <si>
    <t>MGISEQ-200/2000测序试剂分装</t>
  </si>
  <si>
    <t>样本总数
◎5~48例</t>
  </si>
  <si>
    <t>样本总数
◎5-32例</t>
  </si>
  <si>
    <t>环化反应缓冲液</t>
  </si>
  <si>
    <t>DNB聚合酶混合液I（OS）</t>
  </si>
  <si>
    <t>环化反应酶</t>
  </si>
  <si>
    <t>◎1μL</t>
  </si>
  <si>
    <t>DNB聚合酶混合液II（OS）</t>
  </si>
  <si>
    <t>◎15μL</t>
  </si>
  <si>
    <t>DNB聚合酶混合液I</t>
  </si>
  <si>
    <t>◎36μL</t>
  </si>
  <si>
    <t>DNB制备缓冲液（SB）</t>
  </si>
  <si>
    <t>DNB聚合酶混合液II(LC)</t>
  </si>
  <si>
    <t>◎3μL</t>
  </si>
  <si>
    <t>DNB终止缓冲液</t>
  </si>
  <si>
    <t>◎4μL</t>
  </si>
  <si>
    <t>DNB制备缓冲液(SB)</t>
  </si>
  <si>
    <t>◎20μL</t>
  </si>
  <si>
    <t>投料</t>
  </si>
  <si>
    <t>提取耗材</t>
  </si>
  <si>
    <t>建库耗材</t>
  </si>
  <si>
    <t>操作注意事项</t>
  </si>
  <si>
    <t>耗材名</t>
  </si>
  <si>
    <t>数量</t>
  </si>
  <si>
    <t>确认</t>
  </si>
  <si>
    <t xml:space="preserve">1. 请参照简版SOP摆放。
2. 放置试剂管时轻拿轻放，放置前充分离心去除试剂管底气泡。
</t>
  </si>
  <si>
    <t>2.2mL深孔板</t>
  </si>
  <si>
    <t>(√）</t>
  </si>
  <si>
    <t>PCR盖板</t>
  </si>
  <si>
    <t>1000μL吸头盒</t>
  </si>
  <si>
    <t>1.3mL深孔板</t>
  </si>
  <si>
    <t>300μL吸头盒</t>
  </si>
  <si>
    <t>50μL吸头盒</t>
  </si>
  <si>
    <t>全裙边PCR板</t>
  </si>
  <si>
    <t>磁棒套</t>
  </si>
  <si>
    <t>试剂槽</t>
  </si>
  <si>
    <t>8mL管+黑色橡胶塞</t>
  </si>
  <si>
    <t>空300μL吸头盒</t>
  </si>
  <si>
    <t>定量管</t>
  </si>
  <si>
    <t>48（E25为64）</t>
  </si>
  <si>
    <t>50mL试剂槽（普通/避光）</t>
  </si>
  <si>
    <t>1/1</t>
  </si>
  <si>
    <t>3（E25为4）</t>
  </si>
  <si>
    <t>操作人：</t>
  </si>
  <si>
    <t>复核人：</t>
  </si>
  <si>
    <t>文库质控合格确认</t>
  </si>
  <si>
    <t>DNB质控-浓度</t>
  </si>
  <si>
    <t>测序仪上机时间:</t>
  </si>
  <si>
    <r>
      <t>联合实验室</t>
    </r>
    <r>
      <rPr>
        <b/>
        <sz val="16"/>
        <color rgb="FF000000"/>
        <rFont val="Times New Roman"/>
        <charset val="134"/>
      </rPr>
      <t xml:space="preserve">DNBSEQ-G99 </t>
    </r>
    <r>
      <rPr>
        <b/>
        <sz val="16"/>
        <color rgb="FF000000"/>
        <rFont val="宋体"/>
        <charset val="134"/>
      </rPr>
      <t>平台</t>
    </r>
    <r>
      <rPr>
        <b/>
        <sz val="16"/>
        <color rgb="FF000000"/>
        <rFont val="Times New Roman"/>
        <charset val="134"/>
      </rPr>
      <t>SE</t>
    </r>
    <r>
      <rPr>
        <b/>
        <sz val="16"/>
        <color rgb="FF000000"/>
        <rFont val="宋体"/>
        <charset val="134"/>
      </rPr>
      <t>测序任务单</t>
    </r>
    <r>
      <rPr>
        <b/>
        <sz val="16"/>
        <color rgb="FF000000"/>
        <rFont val="Times New Roman"/>
        <charset val="134"/>
      </rPr>
      <t xml:space="preserve">             </t>
    </r>
  </si>
  <si>
    <t>测序样本数：</t>
  </si>
  <si>
    <t>任务单编号：</t>
  </si>
  <si>
    <t xml:space="preserve">测序日期：                            </t>
  </si>
  <si>
    <t>试剂盒批号：</t>
  </si>
  <si>
    <t>DNB浓度检测</t>
  </si>
  <si>
    <t>文库编号</t>
  </si>
  <si>
    <t>DNB浓度
(ng/μL)</t>
  </si>
  <si>
    <t>浓度要求≥8ng/μL，低于需重制备；高于40 ng/μL需用TE缓冲液稀释至20ng/μL</t>
  </si>
  <si>
    <t>DNB 加载</t>
  </si>
  <si>
    <t>反应试剂</t>
  </si>
  <si>
    <t>用量(μL)</t>
  </si>
  <si>
    <t>确认打√</t>
  </si>
  <si>
    <t>DNB体积</t>
  </si>
  <si>
    <t>DNB 加载缓冲液Ⅱ</t>
  </si>
  <si>
    <t>DNB聚合酶混合液Ⅱ（LC）</t>
  </si>
  <si>
    <t>用阔口枪头混匀后，再用200μL无滤芯吸头（非阔口）取10μLDNB加载体系加载芯片</t>
  </si>
  <si>
    <t>测序试剂准备</t>
  </si>
  <si>
    <t>1.试剂解冻后混匀，使用FTAT-预混压紧块按压试剂槽M1、M2、M3、M4孔位</t>
  </si>
  <si>
    <t>2.双手握住试剂槽A、B两侧，上下、左右摇晃混匀10-20次，可轻轻敲打测序试剂槽，以减少试剂中的气泡</t>
  </si>
  <si>
    <t>上机信息
确认</t>
  </si>
  <si>
    <t>检查模块</t>
  </si>
  <si>
    <t>上机前点检</t>
  </si>
  <si>
    <t>测序方案复核</t>
  </si>
  <si>
    <t>试剂槽安放</t>
  </si>
  <si>
    <t xml:space="preserve">□A     □B  </t>
  </si>
  <si>
    <t>芯片安放</t>
  </si>
  <si>
    <t xml:space="preserve">□A    □B  </t>
  </si>
  <si>
    <t xml:space="preserve"> 开始时间：           年           月           日           时           分</t>
  </si>
  <si>
    <t>First Base
碱基信息</t>
  </si>
  <si>
    <t>芯片号</t>
  </si>
  <si>
    <t>位置</t>
  </si>
  <si>
    <t>Q30%</t>
  </si>
  <si>
    <t>A</t>
  </si>
  <si>
    <t>B</t>
  </si>
  <si>
    <t xml:space="preserve">操作人： </t>
  </si>
  <si>
    <t>联合实验室MGISEQ-200平台 SE单端测序任务单</t>
  </si>
  <si>
    <t>试剂盒批次</t>
  </si>
  <si>
    <t>上机日期</t>
  </si>
  <si>
    <t>测序仪编号</t>
  </si>
  <si>
    <t>操作人</t>
  </si>
  <si>
    <t>复核人</t>
  </si>
  <si>
    <t>加载体系</t>
  </si>
  <si>
    <t>加入量(μL)</t>
  </si>
  <si>
    <t>总DNB</t>
  </si>
  <si>
    <t xml:space="preserve"> DNB加载缓冲液I</t>
  </si>
  <si>
    <t xml:space="preserve"> DNB加载缓冲液II</t>
  </si>
  <si>
    <t>DNB聚合酶混合液II</t>
  </si>
  <si>
    <t>测序试剂配制（SE35/SE50/SE60 FCL）</t>
  </si>
  <si>
    <t>孔位</t>
  </si>
  <si>
    <t>dNTPs混合液Ⅲ</t>
  </si>
  <si>
    <t>dNTPs混合液II</t>
  </si>
  <si>
    <t>DNA聚合酶混合液</t>
  </si>
  <si>
    <t>测序试剂配制（SE100 FCS）</t>
  </si>
  <si>
    <t>测序试剂配制（SE100 FCL）</t>
  </si>
  <si>
    <t>常规清洗确认：</t>
  </si>
  <si>
    <t>磁盘容量(T)：</t>
  </si>
  <si>
    <t>测序仪是否已重启</t>
  </si>
  <si>
    <t>□ 是    □ 否</t>
  </si>
  <si>
    <t>芯片安装确认：□</t>
  </si>
  <si>
    <t>芯片清净确认：□</t>
  </si>
  <si>
    <t>负压（kPa）：</t>
  </si>
  <si>
    <t>上机操作人：                                                                      复核人：                                    测序起始时间：      年     月     日     时</t>
  </si>
  <si>
    <r>
      <t>联合实验室</t>
    </r>
    <r>
      <rPr>
        <b/>
        <sz val="16"/>
        <color theme="1"/>
        <rFont val="Times New Roman"/>
        <charset val="134"/>
      </rPr>
      <t>MGISEQ-2000</t>
    </r>
    <r>
      <rPr>
        <b/>
        <sz val="16"/>
        <color theme="1"/>
        <rFont val="宋体"/>
        <charset val="134"/>
      </rPr>
      <t>平台</t>
    </r>
    <r>
      <rPr>
        <b/>
        <sz val="16"/>
        <color theme="1"/>
        <rFont val="Times New Roman"/>
        <charset val="134"/>
      </rPr>
      <t xml:space="preserve"> SE</t>
    </r>
    <r>
      <rPr>
        <b/>
        <sz val="16"/>
        <color theme="1"/>
        <rFont val="宋体"/>
        <charset val="134"/>
      </rPr>
      <t>单端测序任务单</t>
    </r>
  </si>
  <si>
    <t>测序试剂配制（SE35 FCL）</t>
  </si>
  <si>
    <t>dNTPs混合液</t>
  </si>
  <si>
    <t>测序试剂配制（SE50/60 FCL）</t>
  </si>
  <si>
    <r>
      <t>联合实验室</t>
    </r>
    <r>
      <rPr>
        <b/>
        <sz val="16"/>
        <color rgb="FF000000"/>
        <rFont val="Times New Roman"/>
        <charset val="134"/>
      </rPr>
      <t>DNBSEQ-E25</t>
    </r>
    <r>
      <rPr>
        <b/>
        <sz val="16"/>
        <color rgb="FF000000"/>
        <rFont val="宋体"/>
        <charset val="134"/>
      </rPr>
      <t>（</t>
    </r>
    <r>
      <rPr>
        <b/>
        <sz val="16"/>
        <color rgb="FF000000"/>
        <rFont val="Times New Roman"/>
        <charset val="134"/>
      </rPr>
      <t>SE100</t>
    </r>
    <r>
      <rPr>
        <b/>
        <sz val="16"/>
        <color rgb="FF000000"/>
        <rFont val="宋体"/>
        <charset val="134"/>
      </rPr>
      <t>）平台测序任务单</t>
    </r>
  </si>
  <si>
    <r>
      <rPr>
        <b/>
        <sz val="11"/>
        <color rgb="FF000000"/>
        <rFont val="宋体"/>
        <charset val="134"/>
      </rPr>
      <t>测序样本数：</t>
    </r>
  </si>
  <si>
    <r>
      <rPr>
        <b/>
        <sz val="11"/>
        <color rgb="FF000000"/>
        <rFont val="宋体"/>
        <charset val="134"/>
      </rPr>
      <t>任务单编号：</t>
    </r>
  </si>
  <si>
    <r>
      <rPr>
        <b/>
        <sz val="11"/>
        <color rgb="FF000000"/>
        <rFont val="宋体"/>
        <charset val="134"/>
      </rPr>
      <t>测序日期：</t>
    </r>
  </si>
  <si>
    <r>
      <rPr>
        <b/>
        <sz val="11"/>
        <color rgb="FF000000"/>
        <rFont val="宋体"/>
        <charset val="134"/>
      </rPr>
      <t>试剂盒批号：</t>
    </r>
  </si>
  <si>
    <r>
      <t>DNB</t>
    </r>
    <r>
      <rPr>
        <b/>
        <sz val="11"/>
        <color rgb="FF000000"/>
        <rFont val="宋体"/>
        <charset val="134"/>
      </rPr>
      <t>浓度检测</t>
    </r>
  </si>
  <si>
    <r>
      <t>DNB</t>
    </r>
    <r>
      <rPr>
        <b/>
        <sz val="11"/>
        <color rgb="FF000000"/>
        <rFont val="宋体"/>
        <charset val="134"/>
      </rPr>
      <t>编号</t>
    </r>
  </si>
  <si>
    <r>
      <t>DNB</t>
    </r>
    <r>
      <rPr>
        <b/>
        <sz val="11"/>
        <color rgb="FF000000"/>
        <rFont val="宋体"/>
        <charset val="134"/>
      </rPr>
      <t>浓度</t>
    </r>
    <r>
      <rPr>
        <b/>
        <sz val="11"/>
        <color rgb="FF000000"/>
        <rFont val="Times New Roman"/>
        <charset val="134"/>
      </rPr>
      <t xml:space="preserve">
(ng/μL)</t>
    </r>
  </si>
  <si>
    <r>
      <rPr>
        <sz val="11"/>
        <color indexed="8"/>
        <rFont val="宋体"/>
        <charset val="134"/>
      </rPr>
      <t>浓度要求</t>
    </r>
    <r>
      <rPr>
        <sz val="11"/>
        <color indexed="8"/>
        <rFont val="Times New Roman"/>
        <charset val="134"/>
      </rPr>
      <t>≥8ng/μL</t>
    </r>
    <r>
      <rPr>
        <sz val="11"/>
        <color indexed="8"/>
        <rFont val="宋体"/>
        <charset val="134"/>
      </rPr>
      <t>，低于需重制备；高于</t>
    </r>
    <r>
      <rPr>
        <sz val="11"/>
        <color indexed="8"/>
        <rFont val="Times New Roman"/>
        <charset val="134"/>
      </rPr>
      <t>40 ng/μL</t>
    </r>
    <r>
      <rPr>
        <sz val="11"/>
        <color indexed="8"/>
        <rFont val="宋体"/>
        <charset val="134"/>
      </rPr>
      <t>需用</t>
    </r>
    <r>
      <rPr>
        <sz val="11"/>
        <color indexed="8"/>
        <rFont val="Times New Roman"/>
        <charset val="134"/>
      </rPr>
      <t>TE</t>
    </r>
    <r>
      <rPr>
        <sz val="11"/>
        <color indexed="8"/>
        <rFont val="宋体"/>
        <charset val="134"/>
      </rPr>
      <t>缓冲液稀释至</t>
    </r>
    <r>
      <rPr>
        <sz val="11"/>
        <color indexed="8"/>
        <rFont val="Times New Roman"/>
        <charset val="134"/>
      </rPr>
      <t>20ng/μL</t>
    </r>
  </si>
  <si>
    <r>
      <t>DNB</t>
    </r>
    <r>
      <rPr>
        <b/>
        <sz val="11"/>
        <color rgb="FF000000"/>
        <rFont val="宋体"/>
        <charset val="134"/>
      </rPr>
      <t>加载</t>
    </r>
  </si>
  <si>
    <r>
      <rPr>
        <b/>
        <sz val="11"/>
        <color rgb="FF000000"/>
        <rFont val="宋体"/>
        <charset val="134"/>
      </rPr>
      <t>反应试剂</t>
    </r>
  </si>
  <si>
    <r>
      <rPr>
        <b/>
        <sz val="11"/>
        <color rgb="FF000000"/>
        <rFont val="宋体"/>
        <charset val="134"/>
      </rPr>
      <t>用量</t>
    </r>
    <r>
      <rPr>
        <b/>
        <sz val="11"/>
        <color rgb="FF000000"/>
        <rFont val="Times New Roman"/>
        <charset val="134"/>
      </rPr>
      <t>(μL)</t>
    </r>
  </si>
  <si>
    <r>
      <rPr>
        <b/>
        <sz val="11"/>
        <color rgb="FF000000"/>
        <rFont val="宋体"/>
        <charset val="134"/>
      </rPr>
      <t>确认打</t>
    </r>
    <r>
      <rPr>
        <b/>
        <sz val="11"/>
        <color rgb="FF000000"/>
        <rFont val="Times New Roman"/>
        <charset val="134"/>
      </rPr>
      <t>√</t>
    </r>
  </si>
  <si>
    <r>
      <t>DNB</t>
    </r>
    <r>
      <rPr>
        <sz val="11"/>
        <color rgb="FF000000"/>
        <rFont val="宋体"/>
        <charset val="134"/>
      </rPr>
      <t>体积</t>
    </r>
  </si>
  <si>
    <r>
      <t>DNB</t>
    </r>
    <r>
      <rPr>
        <sz val="11"/>
        <color rgb="FF000000"/>
        <rFont val="宋体"/>
        <charset val="134"/>
      </rPr>
      <t>加载缓冲液</t>
    </r>
    <r>
      <rPr>
        <sz val="11"/>
        <color rgb="FF000000"/>
        <rFont val="Times New Roman"/>
        <charset val="134"/>
      </rPr>
      <t>Ⅱ</t>
    </r>
  </si>
  <si>
    <r>
      <rPr>
        <sz val="11"/>
        <color rgb="FF000000"/>
        <rFont val="宋体"/>
        <charset val="134"/>
      </rPr>
      <t>总体积</t>
    </r>
  </si>
  <si>
    <r>
      <t>用阔口吸头缓慢吹打混匀</t>
    </r>
    <r>
      <rPr>
        <sz val="11"/>
        <color rgb="FF000000"/>
        <rFont val="Times New Roman"/>
        <charset val="134"/>
      </rPr>
      <t>8~10</t>
    </r>
    <r>
      <rPr>
        <sz val="11"/>
        <color rgb="FF000000"/>
        <rFont val="宋体"/>
        <charset val="134"/>
      </rPr>
      <t>次，将全部</t>
    </r>
    <r>
      <rPr>
        <sz val="11"/>
        <color rgb="FF000000"/>
        <rFont val="Times New Roman"/>
        <charset val="134"/>
      </rPr>
      <t>DNB</t>
    </r>
    <r>
      <rPr>
        <sz val="11"/>
        <color rgb="FF000000"/>
        <rFont val="宋体"/>
        <charset val="134"/>
      </rPr>
      <t>加载混合液加入载片</t>
    </r>
    <r>
      <rPr>
        <sz val="11"/>
        <color rgb="FF000000"/>
        <rFont val="Times New Roman"/>
        <charset val="134"/>
      </rPr>
      <t>DNB</t>
    </r>
    <r>
      <rPr>
        <sz val="11"/>
        <color rgb="FF000000"/>
        <rFont val="宋体"/>
        <charset val="134"/>
      </rPr>
      <t>加载口，并确认加载口无气泡</t>
    </r>
  </si>
  <si>
    <r>
      <rPr>
        <b/>
        <sz val="11"/>
        <color rgb="FF000000"/>
        <rFont val="宋体"/>
        <charset val="134"/>
      </rPr>
      <t>测序试剂准备</t>
    </r>
  </si>
  <si>
    <r>
      <t>1.</t>
    </r>
    <r>
      <rPr>
        <sz val="11"/>
        <color rgb="FF000000"/>
        <rFont val="宋体"/>
        <charset val="134"/>
      </rPr>
      <t>确认</t>
    </r>
    <r>
      <rPr>
        <sz val="11"/>
        <color rgb="FF000000"/>
        <rFont val="Times New Roman"/>
        <charset val="134"/>
      </rPr>
      <t>FCL SE100</t>
    </r>
    <r>
      <rPr>
        <sz val="11"/>
        <color rgb="FF000000"/>
        <rFont val="宋体"/>
        <charset val="134"/>
      </rPr>
      <t>试剂槽完全化冻；上下颠倒</t>
    </r>
    <r>
      <rPr>
        <sz val="11"/>
        <color rgb="FF000000"/>
        <rFont val="Times New Roman"/>
        <charset val="134"/>
      </rPr>
      <t>20</t>
    </r>
    <r>
      <rPr>
        <sz val="11"/>
        <color rgb="FF000000"/>
        <rFont val="宋体"/>
        <charset val="134"/>
      </rPr>
      <t>次并拍击桌面</t>
    </r>
    <r>
      <rPr>
        <sz val="11"/>
        <color rgb="FF000000"/>
        <rFont val="Times New Roman"/>
        <charset val="134"/>
      </rPr>
      <t>10</t>
    </r>
    <r>
      <rPr>
        <sz val="11"/>
        <color rgb="FF000000"/>
        <rFont val="宋体"/>
        <charset val="134"/>
      </rPr>
      <t>次，再上下颠倒</t>
    </r>
    <r>
      <rPr>
        <sz val="11"/>
        <color rgb="FF000000"/>
        <rFont val="Times New Roman"/>
        <charset val="134"/>
      </rPr>
      <t>10</t>
    </r>
    <r>
      <rPr>
        <sz val="11"/>
        <color rgb="FF000000"/>
        <rFont val="宋体"/>
        <charset val="134"/>
      </rPr>
      <t>次并拍击桌面</t>
    </r>
    <r>
      <rPr>
        <sz val="11"/>
        <color rgb="FF000000"/>
        <rFont val="Times New Roman"/>
        <charset val="134"/>
      </rPr>
      <t>10</t>
    </r>
    <r>
      <rPr>
        <sz val="11"/>
        <color rgb="FF000000"/>
        <rFont val="宋体"/>
        <charset val="134"/>
      </rPr>
      <t>次</t>
    </r>
  </si>
  <si>
    <r>
      <t>2.</t>
    </r>
    <r>
      <rPr>
        <sz val="11"/>
        <color rgb="FF000000"/>
        <rFont val="宋体"/>
        <charset val="134"/>
      </rPr>
      <t>将</t>
    </r>
    <r>
      <rPr>
        <sz val="11"/>
        <color rgb="FF000000"/>
        <rFont val="Times New Roman"/>
        <charset val="134"/>
      </rPr>
      <t>10.5 μL</t>
    </r>
    <r>
      <rPr>
        <sz val="11"/>
        <color rgb="FF000000"/>
        <rFont val="宋体"/>
        <charset val="134"/>
      </rPr>
      <t>信号因子</t>
    </r>
    <r>
      <rPr>
        <sz val="11"/>
        <color rgb="FF000000"/>
        <rFont val="Times New Roman"/>
        <charset val="134"/>
      </rPr>
      <t>1</t>
    </r>
    <r>
      <rPr>
        <sz val="11"/>
        <color rgb="FF000000"/>
        <rFont val="宋体"/>
        <charset val="134"/>
      </rPr>
      <t>和</t>
    </r>
    <r>
      <rPr>
        <sz val="11"/>
        <color rgb="FF000000"/>
        <rFont val="Times New Roman"/>
        <charset val="134"/>
      </rPr>
      <t>7 μL</t>
    </r>
    <r>
      <rPr>
        <sz val="11"/>
        <color rgb="FF000000"/>
        <rFont val="宋体"/>
        <charset val="134"/>
      </rPr>
      <t>信号因子</t>
    </r>
    <r>
      <rPr>
        <sz val="11"/>
        <color rgb="FF000000"/>
        <rFont val="Times New Roman"/>
        <charset val="134"/>
      </rPr>
      <t>2</t>
    </r>
    <r>
      <rPr>
        <sz val="11"/>
        <color rgb="FF000000"/>
        <rFont val="宋体"/>
        <charset val="134"/>
      </rPr>
      <t>加入</t>
    </r>
    <r>
      <rPr>
        <sz val="11"/>
        <color rgb="FF000000"/>
        <rFont val="Times New Roman"/>
        <charset val="134"/>
      </rPr>
      <t>7 mL</t>
    </r>
    <r>
      <rPr>
        <sz val="11"/>
        <color rgb="FF000000"/>
        <rFont val="宋体"/>
        <charset val="134"/>
      </rPr>
      <t>信号因子缓冲液，混匀后全部加入</t>
    </r>
    <r>
      <rPr>
        <sz val="11"/>
        <color rgb="FF000000"/>
        <rFont val="Times New Roman"/>
        <charset val="134"/>
      </rPr>
      <t>MSP</t>
    </r>
    <r>
      <rPr>
        <sz val="11"/>
        <color rgb="FF000000"/>
        <rFont val="宋体"/>
        <charset val="134"/>
      </rPr>
      <t>孔；拔除</t>
    </r>
    <r>
      <rPr>
        <sz val="11"/>
        <color rgb="FF000000"/>
        <rFont val="Times New Roman"/>
        <charset val="134"/>
      </rPr>
      <t>1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34"/>
      </rPr>
      <t>2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34"/>
      </rPr>
      <t>3</t>
    </r>
    <r>
      <rPr>
        <sz val="11"/>
        <color rgb="FF000000"/>
        <rFont val="宋体"/>
        <charset val="134"/>
      </rPr>
      <t>号孔胶塞</t>
    </r>
  </si>
  <si>
    <r>
      <rPr>
        <b/>
        <sz val="11"/>
        <color rgb="FF000000"/>
        <rFont val="宋体"/>
        <charset val="134"/>
      </rPr>
      <t>上机信息</t>
    </r>
    <r>
      <rPr>
        <b/>
        <sz val="11"/>
        <color rgb="FF000000"/>
        <rFont val="Times New Roman"/>
        <charset val="134"/>
      </rPr>
      <t xml:space="preserve">
</t>
    </r>
    <r>
      <rPr>
        <b/>
        <sz val="11"/>
        <color rgb="FF000000"/>
        <rFont val="宋体"/>
        <charset val="134"/>
      </rPr>
      <t>确认</t>
    </r>
  </si>
  <si>
    <r>
      <rPr>
        <b/>
        <sz val="11"/>
        <color rgb="FF000000"/>
        <rFont val="宋体"/>
        <charset val="134"/>
      </rPr>
      <t>检查模块</t>
    </r>
  </si>
  <si>
    <r>
      <rPr>
        <sz val="11"/>
        <color rgb="FF000000"/>
        <rFont val="宋体"/>
        <charset val="134"/>
      </rPr>
      <t>测序方案</t>
    </r>
    <r>
      <rPr>
        <sz val="11"/>
        <color rgb="FF000000"/>
        <rFont val="Times New Roman"/>
        <charset val="134"/>
      </rPr>
      <t>SE100</t>
    </r>
  </si>
  <si>
    <r>
      <t>Barcode</t>
    </r>
    <r>
      <rPr>
        <sz val="11"/>
        <color rgb="FF000000"/>
        <rFont val="宋体"/>
        <charset val="134"/>
      </rPr>
      <t>方案</t>
    </r>
    <r>
      <rPr>
        <sz val="11"/>
        <color rgb="FF000000"/>
        <rFont val="Times New Roman"/>
        <charset val="134"/>
      </rPr>
      <t>MGI Single</t>
    </r>
  </si>
  <si>
    <r>
      <rPr>
        <sz val="11"/>
        <color rgb="FF000000"/>
        <rFont val="宋体"/>
        <charset val="134"/>
      </rPr>
      <t>载片、试剂槽安装</t>
    </r>
  </si>
  <si>
    <r>
      <rPr>
        <sz val="11"/>
        <color rgb="FF000000"/>
        <rFont val="宋体"/>
        <charset val="134"/>
      </rPr>
      <t>废液盒安装</t>
    </r>
  </si>
  <si>
    <r>
      <rPr>
        <sz val="11"/>
        <color rgb="FF000000"/>
        <rFont val="宋体"/>
        <charset val="134"/>
      </rPr>
      <t>开始时间：</t>
    </r>
    <r>
      <rPr>
        <sz val="11"/>
        <color rgb="FF000000"/>
        <rFont val="Times New Roman"/>
        <charset val="134"/>
      </rPr>
      <t xml:space="preserve">           </t>
    </r>
    <r>
      <rPr>
        <sz val="11"/>
        <color rgb="FF000000"/>
        <rFont val="宋体"/>
        <charset val="134"/>
      </rPr>
      <t>年</t>
    </r>
    <r>
      <rPr>
        <sz val="11"/>
        <color rgb="FF000000"/>
        <rFont val="Times New Roman"/>
        <charset val="134"/>
      </rPr>
      <t xml:space="preserve">           </t>
    </r>
    <r>
      <rPr>
        <sz val="11"/>
        <color rgb="FF000000"/>
        <rFont val="宋体"/>
        <charset val="134"/>
      </rPr>
      <t>月</t>
    </r>
    <r>
      <rPr>
        <sz val="11"/>
        <color rgb="FF000000"/>
        <rFont val="Times New Roman"/>
        <charset val="134"/>
      </rPr>
      <t xml:space="preserve">           </t>
    </r>
    <r>
      <rPr>
        <sz val="11"/>
        <color rgb="FF000000"/>
        <rFont val="宋体"/>
        <charset val="134"/>
      </rPr>
      <t>日</t>
    </r>
    <r>
      <rPr>
        <sz val="11"/>
        <color rgb="FF000000"/>
        <rFont val="Times New Roman"/>
        <charset val="134"/>
      </rPr>
      <t xml:space="preserve">           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34"/>
      </rPr>
      <t xml:space="preserve">           </t>
    </r>
    <r>
      <rPr>
        <sz val="11"/>
        <color rgb="FF000000"/>
        <rFont val="宋体"/>
        <charset val="134"/>
      </rPr>
      <t>分</t>
    </r>
  </si>
  <si>
    <r>
      <t>第一循环</t>
    </r>
    <r>
      <rPr>
        <b/>
        <sz val="11"/>
        <color rgb="FF000000"/>
        <rFont val="Times New Roman"/>
        <charset val="134"/>
      </rPr>
      <t xml:space="preserve">
</t>
    </r>
    <r>
      <rPr>
        <b/>
        <sz val="11"/>
        <color rgb="FF000000"/>
        <rFont val="宋体"/>
        <charset val="134"/>
      </rPr>
      <t>碱基信息</t>
    </r>
  </si>
  <si>
    <r>
      <rPr>
        <b/>
        <sz val="11"/>
        <color rgb="FF000000"/>
        <rFont val="宋体"/>
        <charset val="134"/>
      </rPr>
      <t>载片号</t>
    </r>
  </si>
  <si>
    <r>
      <rPr>
        <b/>
        <sz val="11"/>
        <color rgb="FF000000"/>
        <rFont val="宋体"/>
        <charset val="134"/>
      </rPr>
      <t>报告状态</t>
    </r>
  </si>
  <si>
    <r>
      <t>□</t>
    </r>
    <r>
      <rPr>
        <sz val="11"/>
        <color rgb="FF000000"/>
        <rFont val="宋体"/>
        <charset val="134"/>
      </rPr>
      <t>正常</t>
    </r>
    <r>
      <rPr>
        <sz val="11"/>
        <color rgb="FF000000"/>
        <rFont val="Times New Roman"/>
        <charset val="134"/>
      </rPr>
      <t xml:space="preserve">  □</t>
    </r>
    <r>
      <rPr>
        <sz val="11"/>
        <color rgb="FF000000"/>
        <rFont val="宋体"/>
        <charset val="134"/>
      </rPr>
      <t>异常</t>
    </r>
  </si>
  <si>
    <r>
      <rPr>
        <sz val="11"/>
        <color rgb="FF000000"/>
        <rFont val="宋体"/>
        <charset val="134"/>
      </rPr>
      <t>异常情况记录：</t>
    </r>
  </si>
  <si>
    <r>
      <rPr>
        <b/>
        <sz val="11"/>
        <color rgb="FF000000"/>
        <rFont val="宋体"/>
        <charset val="134"/>
      </rPr>
      <t>操作人：</t>
    </r>
  </si>
  <si>
    <r>
      <rPr>
        <b/>
        <sz val="11"/>
        <color rgb="FF000000"/>
        <rFont val="宋体"/>
        <charset val="134"/>
      </rPr>
      <t>复核人：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</si>
</sst>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2">
    <font>
      <sz val="11"/>
      <color theme="1"/>
      <name val="等线"/>
      <charset val="134"/>
    </font>
    <font>
      <sz val="12"/>
      <color theme="1"/>
      <name val="等线"/>
      <charset val="134"/>
    </font>
    <font>
      <sz val="9"/>
      <color theme="1"/>
      <name val="等线"/>
      <charset val="134"/>
    </font>
    <font>
      <b/>
      <sz val="16"/>
      <color rgb="FF000000"/>
      <name val="宋体"/>
      <charset val="134"/>
    </font>
    <font>
      <b/>
      <sz val="11"/>
      <color rgb="FF000000"/>
      <name val="Times New Roman"/>
      <charset val="134"/>
    </font>
    <font>
      <sz val="11"/>
      <color rgb="FF000000"/>
      <name val="Times New Roman"/>
      <charset val="134"/>
    </font>
    <font>
      <sz val="11"/>
      <color indexed="8"/>
      <name val="Times New Roman"/>
      <charset val="134"/>
    </font>
    <font>
      <sz val="11"/>
      <color theme="1"/>
      <name val="Times New Roman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2"/>
      <name val="Times New Roman"/>
      <charset val="134"/>
    </font>
    <font>
      <sz val="12"/>
      <color theme="1"/>
      <name val="Times New Roman"/>
      <charset val="134"/>
    </font>
    <font>
      <sz val="9"/>
      <color theme="1"/>
      <name val="Times New Roman"/>
      <charset val="134"/>
    </font>
    <font>
      <b/>
      <sz val="16"/>
      <color theme="1"/>
      <name val="宋体"/>
      <charset val="134"/>
    </font>
    <font>
      <b/>
      <sz val="11"/>
      <color rgb="FFFF0000"/>
      <name val="宋体"/>
      <charset val="134"/>
    </font>
    <font>
      <sz val="12"/>
      <color theme="1"/>
      <name val="宋体"/>
      <charset val="134"/>
    </font>
    <font>
      <sz val="10"/>
      <color theme="1"/>
      <name val="Times New Roman"/>
      <charset val="134"/>
    </font>
    <font>
      <b/>
      <sz val="16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1"/>
      <name val="Times New Roman"/>
      <charset val="134"/>
    </font>
    <font>
      <sz val="11"/>
      <name val="Times New Roman"/>
      <charset val="134"/>
    </font>
    <font>
      <b/>
      <sz val="11"/>
      <color indexed="8"/>
      <name val="Times New Roman"/>
      <charset val="134"/>
    </font>
    <font>
      <b/>
      <sz val="8"/>
      <name val="Times New Roman"/>
      <charset val="134"/>
    </font>
    <font>
      <sz val="11"/>
      <color theme="1"/>
      <name val="宋体"/>
      <charset val="134"/>
    </font>
    <font>
      <b/>
      <sz val="11"/>
      <color rgb="FFFF0000"/>
      <name val="Times New Roman"/>
      <charset val="134"/>
    </font>
    <font>
      <sz val="11"/>
      <color theme="0" tint="-0.34999"/>
      <name val="Times New Roman"/>
      <charset val="134"/>
    </font>
    <font>
      <b/>
      <sz val="12"/>
      <name val="Times New Roman"/>
      <charset val="134"/>
    </font>
    <font>
      <b/>
      <sz val="12"/>
      <color theme="1"/>
      <name val="Times New Roman"/>
      <charset val="134"/>
    </font>
    <font>
      <sz val="11"/>
      <color rgb="FF0000FF"/>
      <name val="等线"/>
      <charset val="134"/>
    </font>
    <font>
      <sz val="11"/>
      <color rgb="FF800080"/>
      <name val="等线"/>
      <charset val="134"/>
    </font>
    <font>
      <sz val="11"/>
      <color rgb="FFFF0000"/>
      <name val="等线"/>
      <charset val="134"/>
    </font>
    <font>
      <b/>
      <sz val="18"/>
      <color theme="3"/>
      <name val="等线"/>
      <charset val="134"/>
    </font>
    <font>
      <i/>
      <sz val="11"/>
      <color rgb="FF7F7F7F"/>
      <name val="等线"/>
      <charset val="134"/>
    </font>
    <font>
      <b/>
      <sz val="15"/>
      <color theme="3"/>
      <name val="等线"/>
      <charset val="134"/>
    </font>
    <font>
      <b/>
      <sz val="13"/>
      <color theme="3"/>
      <name val="等线"/>
      <charset val="134"/>
    </font>
    <font>
      <b/>
      <sz val="11"/>
      <color theme="3"/>
      <name val="等线"/>
      <charset val="134"/>
    </font>
    <font>
      <sz val="11"/>
      <color rgb="FF3F3F76"/>
      <name val="等线"/>
      <charset val="134"/>
    </font>
    <font>
      <b/>
      <sz val="11"/>
      <color rgb="FF3F3F3F"/>
      <name val="等线"/>
      <charset val="134"/>
    </font>
    <font>
      <b/>
      <sz val="11"/>
      <color rgb="FFFA7D00"/>
      <name val="等线"/>
      <charset val="134"/>
    </font>
    <font>
      <b/>
      <sz val="11"/>
      <color rgb="FFFFFFFF"/>
      <name val="等线"/>
      <charset val="134"/>
    </font>
    <font>
      <sz val="11"/>
      <color rgb="FFFA7D00"/>
      <name val="等线"/>
      <charset val="134"/>
    </font>
    <font>
      <b/>
      <sz val="11"/>
      <color theme="1"/>
      <name val="等线"/>
      <charset val="134"/>
    </font>
    <font>
      <sz val="11"/>
      <color rgb="FF006100"/>
      <name val="等线"/>
      <charset val="134"/>
    </font>
    <font>
      <sz val="11"/>
      <color rgb="FF9C0006"/>
      <name val="等线"/>
      <charset val="134"/>
    </font>
    <font>
      <sz val="11"/>
      <color rgb="FF9C6500"/>
      <name val="等线"/>
      <charset val="134"/>
    </font>
    <font>
      <sz val="11"/>
      <color theme="0"/>
      <name val="等线"/>
      <charset val="134"/>
    </font>
    <font>
      <sz val="11"/>
      <name val="宋体"/>
      <charset val="134"/>
    </font>
    <font>
      <b/>
      <sz val="16"/>
      <color rgb="FF000000"/>
      <name val="Times New Roman"/>
      <charset val="134"/>
    </font>
    <font>
      <b/>
      <sz val="12"/>
      <name val="宋体"/>
      <charset val="134"/>
    </font>
    <font>
      <sz val="12"/>
      <name val="宋体"/>
      <charset val="134"/>
    </font>
    <font>
      <b/>
      <sz val="12"/>
      <color theme="1"/>
      <name val="宋体"/>
      <charset val="134"/>
    </font>
    <font>
      <sz val="11"/>
      <color indexed="8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8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>
      <alignment vertical="center"/>
    </xf>
    <xf numFmtId="0" fontId="29" fillId="0" borderId="0">
      <alignment vertical="center"/>
    </xf>
    <xf numFmtId="0" fontId="0" fillId="4" borderId="74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75">
      <alignment vertical="center"/>
    </xf>
    <xf numFmtId="0" fontId="34" fillId="0" borderId="75">
      <alignment vertical="center"/>
    </xf>
    <xf numFmtId="0" fontId="35" fillId="0" borderId="76">
      <alignment vertical="center"/>
    </xf>
    <xf numFmtId="0" fontId="35" fillId="0" borderId="0">
      <alignment vertical="center"/>
    </xf>
    <xf numFmtId="0" fontId="36" fillId="5" borderId="77">
      <alignment vertical="center"/>
    </xf>
    <xf numFmtId="0" fontId="37" fillId="6" borderId="78">
      <alignment vertical="center"/>
    </xf>
    <xf numFmtId="0" fontId="38" fillId="6" borderId="77">
      <alignment vertical="center"/>
    </xf>
    <xf numFmtId="0" fontId="39" fillId="7" borderId="79">
      <alignment vertical="center"/>
    </xf>
    <xf numFmtId="0" fontId="40" fillId="0" borderId="80">
      <alignment vertical="center"/>
    </xf>
    <xf numFmtId="0" fontId="41" fillId="0" borderId="81">
      <alignment vertical="center"/>
    </xf>
    <xf numFmtId="0" fontId="42" fillId="8" borderId="0">
      <alignment vertical="center"/>
    </xf>
    <xf numFmtId="0" fontId="43" fillId="9" borderId="0">
      <alignment vertical="center"/>
    </xf>
    <xf numFmtId="0" fontId="44" fillId="10" borderId="0">
      <alignment vertical="center"/>
    </xf>
    <xf numFmtId="0" fontId="45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45" fillId="14" borderId="0">
      <alignment vertical="center"/>
    </xf>
    <xf numFmtId="0" fontId="45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45" fillId="18" borderId="0">
      <alignment vertical="center"/>
    </xf>
    <xf numFmtId="0" fontId="45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45" fillId="22" borderId="0">
      <alignment vertical="center"/>
    </xf>
    <xf numFmtId="0" fontId="45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45" fillId="26" borderId="0">
      <alignment vertical="center"/>
    </xf>
    <xf numFmtId="0" fontId="45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45" fillId="30" borderId="0">
      <alignment vertical="center"/>
    </xf>
    <xf numFmtId="0" fontId="45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45" fillId="34" borderId="0">
      <alignment vertical="center"/>
    </xf>
    <xf numFmtId="0" fontId="0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</cellStyleXfs>
  <cellXfs count="266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4" xfId="0" applyBorder="1" applyAlignment="1"/>
    <xf numFmtId="0" fontId="4" fillId="0" borderId="5" xfId="0" applyNumberFormat="1" applyFont="1" applyFill="1" applyBorder="1" applyAlignment="1">
      <alignment vertical="center"/>
    </xf>
    <xf numFmtId="0" fontId="5" fillId="0" borderId="6" xfId="0" applyNumberFormat="1" applyFont="1" applyFill="1" applyBorder="1" applyAlignment="1">
      <alignment vertical="center"/>
    </xf>
    <xf numFmtId="0" fontId="4" fillId="0" borderId="6" xfId="0" applyNumberFormat="1" applyFont="1" applyFill="1" applyBorder="1" applyAlignment="1">
      <alignment vertical="center"/>
    </xf>
    <xf numFmtId="0" fontId="5" fillId="0" borderId="7" xfId="0" applyNumberFormat="1" applyFont="1" applyFill="1" applyBorder="1" applyAlignment="1">
      <alignment vertical="center"/>
    </xf>
    <xf numFmtId="0" fontId="4" fillId="0" borderId="8" xfId="0" applyNumberFormat="1" applyFont="1" applyFill="1" applyBorder="1" applyAlignment="1">
      <alignment vertical="center"/>
    </xf>
    <xf numFmtId="0" fontId="5" fillId="0" borderId="9" xfId="0" applyNumberFormat="1" applyFont="1" applyFill="1" applyBorder="1" applyAlignment="1">
      <alignment vertical="center"/>
    </xf>
    <xf numFmtId="0" fontId="4" fillId="0" borderId="9" xfId="0" applyNumberFormat="1" applyFont="1" applyFill="1" applyBorder="1" applyAlignment="1">
      <alignment vertical="center"/>
    </xf>
    <xf numFmtId="0" fontId="5" fillId="0" borderId="10" xfId="0" applyNumberFormat="1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vertical="center"/>
    </xf>
    <xf numFmtId="0" fontId="4" fillId="0" borderId="11" xfId="0" applyNumberFormat="1" applyFont="1" applyFill="1" applyBorder="1" applyAlignment="1">
      <alignment horizontal="center" vertical="center"/>
    </xf>
    <xf numFmtId="0" fontId="4" fillId="0" borderId="12" xfId="0" applyNumberFormat="1" applyFont="1" applyFill="1" applyBorder="1" applyAlignment="1">
      <alignment horizontal="center" vertical="center"/>
    </xf>
    <xf numFmtId="0" fontId="6" fillId="0" borderId="13" xfId="49" applyFont="1" applyBorder="1" applyAlignment="1">
      <alignment horizontal="center" vertical="center" wrapText="1"/>
    </xf>
    <xf numFmtId="0" fontId="7" fillId="0" borderId="14" xfId="0" applyFont="1" applyBorder="1" applyAlignment="1"/>
    <xf numFmtId="0" fontId="4" fillId="0" borderId="15" xfId="0" applyNumberFormat="1" applyFont="1" applyFill="1" applyBorder="1" applyAlignment="1">
      <alignment horizontal="center" vertical="center"/>
    </xf>
    <xf numFmtId="0" fontId="7" fillId="0" borderId="16" xfId="0" applyFont="1" applyBorder="1" applyAlignment="1"/>
    <xf numFmtId="0" fontId="7" fillId="0" borderId="17" xfId="0" applyFont="1" applyBorder="1" applyAlignment="1"/>
    <xf numFmtId="0" fontId="4" fillId="0" borderId="18" xfId="0" applyNumberFormat="1" applyFont="1" applyFill="1" applyBorder="1" applyAlignment="1">
      <alignment horizontal="center" vertical="center"/>
    </xf>
    <xf numFmtId="0" fontId="4" fillId="0" borderId="19" xfId="0" applyNumberFormat="1" applyFont="1" applyFill="1" applyBorder="1" applyAlignment="1">
      <alignment horizontal="center" vertical="center"/>
    </xf>
    <xf numFmtId="0" fontId="5" fillId="0" borderId="6" xfId="0" applyNumberFormat="1" applyFont="1" applyFill="1" applyBorder="1" applyAlignment="1">
      <alignment horizontal="center" vertical="center"/>
    </xf>
    <xf numFmtId="0" fontId="5" fillId="0" borderId="7" xfId="0" applyNumberFormat="1" applyFont="1" applyFill="1" applyBorder="1" applyAlignment="1">
      <alignment horizontal="center" vertical="center"/>
    </xf>
    <xf numFmtId="0" fontId="8" fillId="0" borderId="9" xfId="0" applyNumberFormat="1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0" borderId="10" xfId="0" applyNumberFormat="1" applyFont="1" applyFill="1" applyBorder="1" applyAlignment="1">
      <alignment horizontal="center" vertical="center" wrapText="1"/>
    </xf>
    <xf numFmtId="0" fontId="5" fillId="0" borderId="12" xfId="0" applyNumberFormat="1" applyFont="1" applyFill="1" applyBorder="1" applyAlignment="1">
      <alignment horizontal="center" vertical="center" wrapText="1"/>
    </xf>
    <xf numFmtId="0" fontId="5" fillId="0" borderId="18" xfId="0" applyNumberFormat="1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/>
    </xf>
    <xf numFmtId="0" fontId="5" fillId="0" borderId="10" xfId="0" applyNumberFormat="1" applyFont="1" applyFill="1" applyBorder="1" applyAlignment="1">
      <alignment horizontal="center" vertical="center"/>
    </xf>
    <xf numFmtId="0" fontId="9" fillId="0" borderId="11" xfId="0" applyNumberFormat="1" applyFont="1" applyFill="1" applyBorder="1" applyAlignment="1">
      <alignment horizontal="center" vertical="center" wrapText="1"/>
    </xf>
    <xf numFmtId="0" fontId="5" fillId="0" borderId="20" xfId="0" applyNumberFormat="1" applyFont="1" applyFill="1" applyBorder="1" applyAlignment="1">
      <alignment horizontal="left" vertical="center"/>
    </xf>
    <xf numFmtId="0" fontId="5" fillId="0" borderId="21" xfId="0" applyNumberFormat="1" applyFont="1" applyFill="1" applyBorder="1" applyAlignment="1">
      <alignment horizontal="left" vertical="center"/>
    </xf>
    <xf numFmtId="0" fontId="5" fillId="0" borderId="22" xfId="0" applyNumberFormat="1" applyFont="1" applyFill="1" applyBorder="1" applyAlignment="1">
      <alignment horizontal="left" vertical="center"/>
    </xf>
    <xf numFmtId="0" fontId="4" fillId="0" borderId="23" xfId="0" applyNumberFormat="1" applyFont="1" applyFill="1" applyBorder="1" applyAlignment="1">
      <alignment horizontal="left" vertical="center"/>
    </xf>
    <xf numFmtId="0" fontId="4" fillId="0" borderId="24" xfId="0" applyNumberFormat="1" applyFont="1" applyFill="1" applyBorder="1" applyAlignment="1">
      <alignment horizontal="left" vertical="center"/>
    </xf>
    <xf numFmtId="0" fontId="4" fillId="0" borderId="25" xfId="0" applyNumberFormat="1" applyFont="1" applyFill="1" applyBorder="1" applyAlignment="1">
      <alignment horizontal="left" vertical="center"/>
    </xf>
    <xf numFmtId="0" fontId="4" fillId="0" borderId="26" xfId="0" applyNumberFormat="1" applyFont="1" applyFill="1" applyBorder="1" applyAlignment="1">
      <alignment horizontal="left" vertical="center"/>
    </xf>
    <xf numFmtId="0" fontId="4" fillId="0" borderId="27" xfId="0" applyNumberFormat="1" applyFont="1" applyFill="1" applyBorder="1" applyAlignment="1">
      <alignment horizontal="left" vertical="center"/>
    </xf>
    <xf numFmtId="0" fontId="10" fillId="0" borderId="0" xfId="0" applyFont="1" applyAlignment="1">
      <alignment horizontal="center"/>
    </xf>
    <xf numFmtId="0" fontId="0" fillId="0" borderId="0" xfId="0" applyAlignment="1"/>
    <xf numFmtId="0" fontId="11" fillId="0" borderId="0" xfId="0" applyFont="1" applyAlignment="1">
      <alignment horizontal="center"/>
    </xf>
    <xf numFmtId="0" fontId="11" fillId="0" borderId="0" xfId="0" applyFont="1" applyAlignment="1"/>
    <xf numFmtId="0" fontId="11" fillId="0" borderId="1" xfId="0" applyFont="1" applyBorder="1" applyAlignment="1">
      <alignment horizontal="center"/>
    </xf>
    <xf numFmtId="0" fontId="12" fillId="0" borderId="4" xfId="0" applyFont="1" applyBorder="1" applyAlignment="1">
      <alignment horizontal="left" vertical="center" wrapText="1"/>
    </xf>
    <xf numFmtId="0" fontId="0" fillId="0" borderId="4" xfId="0" applyBorder="1" applyAlignment="1"/>
    <xf numFmtId="0" fontId="13" fillId="2" borderId="3" xfId="0" applyFont="1" applyFill="1" applyBorder="1" applyAlignment="1">
      <alignment horizontal="center" vertical="center"/>
    </xf>
    <xf numFmtId="0" fontId="14" fillId="0" borderId="0" xfId="49" applyFont="1" applyAlignment="1">
      <alignment vertical="center"/>
    </xf>
    <xf numFmtId="0" fontId="11" fillId="2" borderId="0" xfId="0" applyFont="1" applyFill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/>
    </xf>
    <xf numFmtId="0" fontId="11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0" fillId="0" borderId="33" xfId="0" applyBorder="1" applyAlignment="1"/>
    <xf numFmtId="0" fontId="0" fillId="0" borderId="34" xfId="0" applyBorder="1" applyAlignment="1"/>
    <xf numFmtId="0" fontId="11" fillId="0" borderId="13" xfId="0" applyFont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/>
    </xf>
    <xf numFmtId="0" fontId="0" fillId="0" borderId="35" xfId="0" applyBorder="1" applyAlignment="1"/>
    <xf numFmtId="0" fontId="11" fillId="0" borderId="36" xfId="0" applyFont="1" applyBorder="1" applyAlignment="1">
      <alignment horizontal="center" vertical="center"/>
    </xf>
    <xf numFmtId="0" fontId="0" fillId="0" borderId="37" xfId="0" applyBorder="1" applyAlignment="1"/>
    <xf numFmtId="0" fontId="0" fillId="0" borderId="38" xfId="0" applyBorder="1" applyAlignment="1"/>
    <xf numFmtId="0" fontId="11" fillId="0" borderId="39" xfId="0" applyFont="1" applyBorder="1" applyAlignment="1">
      <alignment horizontal="center" vertical="center"/>
    </xf>
    <xf numFmtId="0" fontId="0" fillId="0" borderId="40" xfId="0" applyBorder="1" applyAlignment="1"/>
    <xf numFmtId="0" fontId="0" fillId="0" borderId="41" xfId="0" applyBorder="1" applyAlignment="1"/>
    <xf numFmtId="0" fontId="0" fillId="0" borderId="42" xfId="0" applyBorder="1" applyAlignment="1"/>
    <xf numFmtId="0" fontId="11" fillId="0" borderId="0" xfId="0" applyFont="1" applyAlignment="1">
      <alignment horizontal="center" vertical="center"/>
    </xf>
    <xf numFmtId="0" fontId="15" fillId="0" borderId="28" xfId="0" applyFont="1" applyBorder="1" applyAlignment="1">
      <alignment horizontal="center" vertical="center" wrapText="1"/>
    </xf>
    <xf numFmtId="0" fontId="15" fillId="0" borderId="43" xfId="0" applyFont="1" applyBorder="1" applyAlignment="1">
      <alignment horizontal="center" vertical="center" wrapText="1"/>
    </xf>
    <xf numFmtId="0" fontId="11" fillId="0" borderId="36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28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43" xfId="0" applyFont="1" applyBorder="1" applyAlignment="1">
      <alignment vertical="center"/>
    </xf>
    <xf numFmtId="0" fontId="11" fillId="0" borderId="36" xfId="0" applyFont="1" applyBorder="1" applyAlignment="1">
      <alignment vertical="center"/>
    </xf>
    <xf numFmtId="0" fontId="10" fillId="0" borderId="36" xfId="0" applyFont="1" applyBorder="1" applyAlignment="1">
      <alignment vertical="center"/>
    </xf>
    <xf numFmtId="0" fontId="10" fillId="0" borderId="30" xfId="0" applyFont="1" applyBorder="1" applyAlignment="1">
      <alignment horizontal="left" vertical="center"/>
    </xf>
    <xf numFmtId="0" fontId="16" fillId="0" borderId="0" xfId="49" applyFont="1" applyAlignment="1">
      <alignment vertical="center"/>
    </xf>
    <xf numFmtId="0" fontId="7" fillId="0" borderId="0" xfId="0" applyAlignment="1">
      <alignment vertical="center"/>
    </xf>
    <xf numFmtId="0" fontId="17" fillId="2" borderId="3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7" fillId="0" borderId="0" xfId="49" applyAlignment="1">
      <alignment vertical="center"/>
    </xf>
    <xf numFmtId="0" fontId="7" fillId="0" borderId="0" xfId="0" applyAlignment="1"/>
    <xf numFmtId="0" fontId="18" fillId="0" borderId="48" xfId="0" applyFont="1" applyBorder="1" applyAlignment="1">
      <alignment horizontal="center" vertical="center"/>
    </xf>
    <xf numFmtId="0" fontId="0" fillId="0" borderId="48" xfId="0" applyBorder="1" applyAlignment="1"/>
    <xf numFmtId="0" fontId="7" fillId="0" borderId="0" xfId="0" applyAlignment="1">
      <alignment horizontal="left" vertical="center" wrapText="1"/>
    </xf>
    <xf numFmtId="0" fontId="3" fillId="0" borderId="49" xfId="0" applyFont="1" applyBorder="1" applyAlignment="1">
      <alignment horizontal="center" vertical="center"/>
    </xf>
    <xf numFmtId="0" fontId="0" fillId="0" borderId="50" xfId="0" applyBorder="1" applyAlignment="1"/>
    <xf numFmtId="0" fontId="0" fillId="0" borderId="14" xfId="0" applyBorder="1" applyAlignment="1"/>
    <xf numFmtId="0" fontId="19" fillId="0" borderId="28" xfId="49" applyFont="1" applyBorder="1" applyAlignment="1">
      <alignment vertical="center"/>
    </xf>
    <xf numFmtId="0" fontId="20" fillId="0" borderId="13" xfId="49" applyFont="1" applyBorder="1" applyAlignment="1">
      <alignment horizontal="center" vertical="center"/>
    </xf>
    <xf numFmtId="0" fontId="19" fillId="0" borderId="13" xfId="49" applyFont="1" applyBorder="1" applyAlignment="1">
      <alignment vertical="center"/>
    </xf>
    <xf numFmtId="0" fontId="20" fillId="0" borderId="29" xfId="49" applyFont="1" applyBorder="1" applyAlignment="1">
      <alignment horizontal="center" vertical="center"/>
    </xf>
    <xf numFmtId="0" fontId="19" fillId="2" borderId="30" xfId="49" applyFont="1" applyFill="1" applyBorder="1" applyAlignment="1">
      <alignment vertical="center"/>
    </xf>
    <xf numFmtId="0" fontId="20" fillId="2" borderId="31" xfId="49" applyFont="1" applyFill="1" applyBorder="1" applyAlignment="1">
      <alignment horizontal="center" vertical="center"/>
    </xf>
    <xf numFmtId="0" fontId="19" fillId="2" borderId="31" xfId="49" applyFont="1" applyFill="1" applyBorder="1" applyAlignment="1">
      <alignment vertical="center"/>
    </xf>
    <xf numFmtId="0" fontId="20" fillId="0" borderId="32" xfId="49" applyFont="1" applyBorder="1" applyAlignment="1">
      <alignment horizontal="center" vertical="center"/>
    </xf>
    <xf numFmtId="0" fontId="19" fillId="2" borderId="0" xfId="49" applyFont="1" applyFill="1" applyAlignment="1">
      <alignment vertical="center"/>
    </xf>
    <xf numFmtId="0" fontId="20" fillId="2" borderId="0" xfId="49" applyFont="1" applyFill="1" applyAlignment="1">
      <alignment horizontal="center" vertical="center"/>
    </xf>
    <xf numFmtId="0" fontId="20" fillId="0" borderId="0" xfId="49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Alignment="1">
      <alignment horizontal="center" vertical="center"/>
    </xf>
    <xf numFmtId="0" fontId="6" fillId="0" borderId="0" xfId="49" applyFont="1" applyAlignment="1">
      <alignment horizontal="center" vertical="center" wrapText="1"/>
    </xf>
    <xf numFmtId="0" fontId="18" fillId="0" borderId="51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6" fillId="0" borderId="13" xfId="49" applyFont="1" applyBorder="1" applyAlignment="1">
      <alignment horizontal="center" vertical="center" wrapText="1"/>
    </xf>
    <xf numFmtId="0" fontId="0" fillId="0" borderId="52" xfId="0" applyBorder="1" applyAlignment="1"/>
    <xf numFmtId="0" fontId="0" fillId="0" borderId="53" xfId="0" applyBorder="1" applyAlignment="1"/>
    <xf numFmtId="0" fontId="19" fillId="0" borderId="42" xfId="0" applyFont="1" applyBorder="1" applyAlignment="1">
      <alignment horizontal="center" vertical="center" wrapText="1"/>
    </xf>
    <xf numFmtId="0" fontId="7" fillId="0" borderId="31" xfId="0" applyBorder="1" applyAlignment="1">
      <alignment horizontal="center" vertical="center"/>
    </xf>
    <xf numFmtId="0" fontId="0" fillId="0" borderId="54" xfId="0" applyBorder="1" applyAlignment="1"/>
    <xf numFmtId="0" fontId="0" fillId="0" borderId="55" xfId="0" applyBorder="1" applyAlignment="1"/>
    <xf numFmtId="0" fontId="19" fillId="0" borderId="0" xfId="0" applyFont="1" applyAlignment="1">
      <alignment horizontal="center" vertical="center" wrapText="1"/>
    </xf>
    <xf numFmtId="0" fontId="4" fillId="0" borderId="51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 wrapText="1"/>
    </xf>
    <xf numFmtId="0" fontId="0" fillId="0" borderId="56" xfId="0" applyBorder="1" applyAlignment="1"/>
    <xf numFmtId="0" fontId="6" fillId="0" borderId="38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vertical="center" wrapText="1"/>
    </xf>
    <xf numFmtId="0" fontId="5" fillId="0" borderId="4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1" fillId="0" borderId="51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8" fillId="0" borderId="51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6" xfId="0" applyFont="1" applyBorder="1" applyAlignment="1">
      <alignment vertical="center"/>
    </xf>
    <xf numFmtId="0" fontId="6" fillId="0" borderId="39" xfId="0" applyFont="1" applyBorder="1" applyAlignment="1">
      <alignment vertical="center"/>
    </xf>
    <xf numFmtId="0" fontId="7" fillId="0" borderId="36" xfId="0" applyBorder="1" applyAlignment="1">
      <alignment horizontal="center" vertical="center"/>
    </xf>
    <xf numFmtId="0" fontId="7" fillId="0" borderId="39" xfId="0" applyBorder="1" applyAlignment="1">
      <alignment horizontal="center" vertical="center"/>
    </xf>
    <xf numFmtId="0" fontId="21" fillId="0" borderId="4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9" fillId="0" borderId="13" xfId="0" applyFont="1" applyBorder="1" applyAlignment="1">
      <alignment horizontal="center" vertical="center"/>
    </xf>
    <xf numFmtId="0" fontId="7" fillId="0" borderId="38" xfId="0" applyBorder="1" applyAlignment="1">
      <alignment vertical="center"/>
    </xf>
    <xf numFmtId="0" fontId="7" fillId="0" borderId="36" xfId="0" applyBorder="1" applyAlignment="1"/>
    <xf numFmtId="0" fontId="20" fillId="0" borderId="39" xfId="0" applyFont="1" applyBorder="1" applyAlignment="1">
      <alignment horizontal="center" vertical="center"/>
    </xf>
    <xf numFmtId="0" fontId="7" fillId="0" borderId="42" xfId="0" applyBorder="1" applyAlignment="1">
      <alignment vertical="center"/>
    </xf>
    <xf numFmtId="0" fontId="7" fillId="0" borderId="31" xfId="0" applyBorder="1" applyAlignment="1"/>
    <xf numFmtId="0" fontId="20" fillId="0" borderId="32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57" xfId="0" applyFont="1" applyBorder="1" applyAlignment="1">
      <alignment horizontal="left" vertical="center"/>
    </xf>
    <xf numFmtId="0" fontId="18" fillId="0" borderId="58" xfId="0" applyFont="1" applyBorder="1" applyAlignment="1">
      <alignment horizontal="left" vertical="center"/>
    </xf>
    <xf numFmtId="0" fontId="18" fillId="0" borderId="58" xfId="0" applyFont="1" applyBorder="1" applyAlignment="1">
      <alignment horizontal="left" vertical="center" wrapText="1"/>
    </xf>
    <xf numFmtId="0" fontId="0" fillId="0" borderId="59" xfId="0" applyBorder="1" applyAlignment="1"/>
    <xf numFmtId="0" fontId="7" fillId="0" borderId="36" xfId="0" applyBorder="1" applyAlignment="1">
      <alignment horizontal="center"/>
    </xf>
    <xf numFmtId="0" fontId="22" fillId="0" borderId="36" xfId="0" applyFont="1" applyBorder="1" applyAlignment="1">
      <alignment horizontal="left" vertical="center" wrapText="1"/>
    </xf>
    <xf numFmtId="0" fontId="19" fillId="0" borderId="36" xfId="0" applyFont="1" applyBorder="1" applyAlignment="1">
      <alignment horizontal="center" vertical="center"/>
    </xf>
    <xf numFmtId="0" fontId="20" fillId="0" borderId="36" xfId="0" applyFont="1" applyBorder="1" applyAlignment="1">
      <alignment vertical="center"/>
    </xf>
    <xf numFmtId="14" fontId="20" fillId="0" borderId="36" xfId="0" applyNumberFormat="1" applyFont="1" applyBorder="1" applyAlignment="1">
      <alignment horizontal="center" vertical="center"/>
    </xf>
    <xf numFmtId="0" fontId="20" fillId="0" borderId="38" xfId="0" applyFont="1" applyBorder="1" applyAlignment="1">
      <alignment horizontal="center" vertical="center"/>
    </xf>
    <xf numFmtId="0" fontId="4" fillId="0" borderId="60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/>
    </xf>
    <xf numFmtId="0" fontId="5" fillId="3" borderId="36" xfId="0" applyFont="1" applyFill="1" applyBorder="1" applyAlignment="1">
      <alignment horizontal="left" vertical="center" wrapText="1"/>
    </xf>
    <xf numFmtId="0" fontId="7" fillId="3" borderId="36" xfId="0" applyFill="1" applyBorder="1" applyAlignment="1">
      <alignment vertical="center" wrapText="1"/>
    </xf>
    <xf numFmtId="0" fontId="7" fillId="3" borderId="36" xfId="0" applyFill="1" applyBorder="1" applyAlignment="1">
      <alignment vertical="center"/>
    </xf>
    <xf numFmtId="0" fontId="5" fillId="0" borderId="36" xfId="0" applyFont="1" applyBorder="1" applyAlignment="1">
      <alignment vertical="center"/>
    </xf>
    <xf numFmtId="0" fontId="7" fillId="0" borderId="36" xfId="0" applyBorder="1" applyAlignment="1">
      <alignment vertical="center"/>
    </xf>
    <xf numFmtId="0" fontId="5" fillId="0" borderId="36" xfId="0" applyFont="1" applyBorder="1" applyAlignment="1">
      <alignment horizontal="left" vertical="center" wrapText="1"/>
    </xf>
    <xf numFmtId="0" fontId="8" fillId="0" borderId="36" xfId="0" applyFont="1" applyBorder="1" applyAlignment="1">
      <alignment horizontal="left" vertical="center" wrapText="1"/>
    </xf>
    <xf numFmtId="0" fontId="23" fillId="0" borderId="36" xfId="0" applyBorder="1" applyAlignment="1">
      <alignment vertical="center"/>
    </xf>
    <xf numFmtId="0" fontId="8" fillId="0" borderId="36" xfId="0" applyFont="1" applyBorder="1" applyAlignment="1">
      <alignment vertical="center"/>
    </xf>
    <xf numFmtId="0" fontId="5" fillId="0" borderId="36" xfId="0" applyFont="1" applyBorder="1" applyAlignment="1">
      <alignment vertical="center" wrapText="1"/>
    </xf>
    <xf numFmtId="0" fontId="18" fillId="0" borderId="60" xfId="0" applyFont="1" applyBorder="1" applyAlignment="1">
      <alignment horizontal="center" vertical="center"/>
    </xf>
    <xf numFmtId="0" fontId="5" fillId="3" borderId="36" xfId="0" applyFont="1" applyFill="1" applyBorder="1" applyAlignment="1">
      <alignment vertical="center" wrapText="1"/>
    </xf>
    <xf numFmtId="0" fontId="7" fillId="0" borderId="36" xfId="0" applyBorder="1" applyAlignment="1">
      <alignment vertical="center" wrapText="1"/>
    </xf>
    <xf numFmtId="0" fontId="7" fillId="0" borderId="36" xfId="0" applyBorder="1" applyAlignment="1">
      <alignment horizontal="left" vertical="center"/>
    </xf>
    <xf numFmtId="0" fontId="7" fillId="0" borderId="37" xfId="0" applyBorder="1" applyAlignment="1">
      <alignment vertical="center"/>
    </xf>
    <xf numFmtId="0" fontId="24" fillId="0" borderId="36" xfId="0" applyFont="1" applyBorder="1" applyAlignment="1">
      <alignment horizontal="center" vertical="center" wrapText="1"/>
    </xf>
    <xf numFmtId="0" fontId="0" fillId="0" borderId="61" xfId="0" applyBorder="1" applyAlignment="1"/>
    <xf numFmtId="0" fontId="0" fillId="0" borderId="62" xfId="0" applyBorder="1" applyAlignment="1"/>
    <xf numFmtId="0" fontId="25" fillId="0" borderId="36" xfId="0" applyFont="1" applyBorder="1" applyAlignment="1">
      <alignment vertical="center" wrapText="1"/>
    </xf>
    <xf numFmtId="0" fontId="0" fillId="0" borderId="44" xfId="0" applyBorder="1" applyAlignment="1"/>
    <xf numFmtId="0" fontId="0" fillId="0" borderId="45" xfId="0" applyBorder="1" applyAlignment="1"/>
    <xf numFmtId="0" fontId="7" fillId="0" borderId="37" xfId="0" applyBorder="1" applyAlignment="1">
      <alignment horizontal="left" vertical="center"/>
    </xf>
    <xf numFmtId="0" fontId="7" fillId="0" borderId="37" xfId="0" applyBorder="1" applyAlignment="1">
      <alignment horizontal="right" vertical="center"/>
    </xf>
    <xf numFmtId="0" fontId="0" fillId="0" borderId="63" xfId="0" applyBorder="1" applyAlignment="1"/>
    <xf numFmtId="0" fontId="7" fillId="2" borderId="36" xfId="0" applyFill="1" applyBorder="1" applyAlignment="1">
      <alignment horizontal="center" vertical="center"/>
    </xf>
    <xf numFmtId="0" fontId="25" fillId="0" borderId="36" xfId="0" applyFont="1" applyBorder="1" applyAlignment="1">
      <alignment vertical="center"/>
    </xf>
    <xf numFmtId="0" fontId="7" fillId="2" borderId="36" xfId="0" applyFill="1" applyBorder="1" applyAlignment="1">
      <alignment vertical="center"/>
    </xf>
    <xf numFmtId="0" fontId="7" fillId="0" borderId="0" xfId="0" applyFont="1" applyAlignment="1"/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26" fillId="0" borderId="64" xfId="0" applyFont="1" applyBorder="1" applyAlignment="1">
      <alignment horizontal="left" vertical="center" wrapText="1"/>
    </xf>
    <xf numFmtId="0" fontId="7" fillId="0" borderId="61" xfId="0" applyFont="1" applyBorder="1" applyAlignment="1"/>
    <xf numFmtId="0" fontId="7" fillId="0" borderId="62" xfId="0" applyFont="1" applyBorder="1" applyAlignment="1"/>
    <xf numFmtId="0" fontId="10" fillId="0" borderId="57" xfId="0" applyFont="1" applyBorder="1" applyAlignment="1">
      <alignment horizontal="center" vertical="center"/>
    </xf>
    <xf numFmtId="0" fontId="7" fillId="0" borderId="2" xfId="0" applyFont="1" applyBorder="1" applyAlignment="1"/>
    <xf numFmtId="0" fontId="7" fillId="0" borderId="4" xfId="0" applyFont="1" applyBorder="1" applyAlignment="1"/>
    <xf numFmtId="0" fontId="10" fillId="0" borderId="57" xfId="0" applyFont="1" applyBorder="1" applyAlignment="1">
      <alignment vertical="center"/>
    </xf>
    <xf numFmtId="14" fontId="10" fillId="0" borderId="58" xfId="0" applyNumberFormat="1" applyFont="1" applyBorder="1" applyAlignment="1">
      <alignment horizontal="center" vertical="center"/>
    </xf>
    <xf numFmtId="0" fontId="7" fillId="0" borderId="59" xfId="0" applyFont="1" applyBorder="1" applyAlignment="1"/>
    <xf numFmtId="0" fontId="10" fillId="0" borderId="58" xfId="0" applyFont="1" applyBorder="1" applyAlignment="1">
      <alignment horizontal="left" vertical="center"/>
    </xf>
    <xf numFmtId="0" fontId="26" fillId="2" borderId="28" xfId="51" applyFont="1" applyFill="1" applyBorder="1" applyAlignment="1">
      <alignment horizontal="center" vertical="center" wrapText="1"/>
    </xf>
    <xf numFmtId="0" fontId="7" fillId="0" borderId="33" xfId="0" applyFont="1" applyBorder="1" applyAlignment="1"/>
    <xf numFmtId="0" fontId="7" fillId="0" borderId="65" xfId="0" applyFont="1" applyBorder="1" applyAlignment="1"/>
    <xf numFmtId="0" fontId="11" fillId="0" borderId="43" xfId="0" applyFont="1" applyBorder="1" applyAlignment="1">
      <alignment horizontal="center" vertical="center" wrapText="1"/>
    </xf>
    <xf numFmtId="0" fontId="7" fillId="0" borderId="38" xfId="0" applyFont="1" applyBorder="1" applyAlignment="1"/>
    <xf numFmtId="0" fontId="11" fillId="0" borderId="36" xfId="0" applyFont="1" applyBorder="1" applyAlignment="1">
      <alignment horizontal="center" vertical="center" wrapText="1"/>
    </xf>
    <xf numFmtId="0" fontId="11" fillId="0" borderId="3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6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7" fillId="0" borderId="66" xfId="0" applyFont="1" applyBorder="1" applyAlignment="1"/>
    <xf numFmtId="0" fontId="7" fillId="0" borderId="67" xfId="0" applyFont="1" applyBorder="1" applyAlignment="1"/>
    <xf numFmtId="0" fontId="11" fillId="0" borderId="31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7" fillId="0" borderId="68" xfId="0" applyFont="1" applyBorder="1" applyAlignment="1"/>
    <xf numFmtId="0" fontId="7" fillId="0" borderId="69" xfId="0" applyFont="1" applyBorder="1" applyAlignment="1"/>
    <xf numFmtId="0" fontId="27" fillId="0" borderId="51" xfId="0" applyFont="1" applyBorder="1" applyAlignment="1">
      <alignment horizontal="center" vertical="center"/>
    </xf>
    <xf numFmtId="0" fontId="7" fillId="0" borderId="65" xfId="0" applyFont="1" applyBorder="1" applyAlignment="1"/>
    <xf numFmtId="0" fontId="27" fillId="0" borderId="43" xfId="0" applyFont="1" applyBorder="1" applyAlignment="1">
      <alignment horizontal="center" vertical="center"/>
    </xf>
    <xf numFmtId="0" fontId="7" fillId="0" borderId="37" xfId="0" applyFont="1" applyBorder="1" applyAlignment="1"/>
    <xf numFmtId="0" fontId="27" fillId="0" borderId="36" xfId="0" applyFont="1" applyBorder="1" applyAlignment="1">
      <alignment horizontal="center" vertical="center"/>
    </xf>
    <xf numFmtId="0" fontId="7" fillId="0" borderId="70" xfId="0" applyFont="1" applyBorder="1" applyAlignment="1"/>
    <xf numFmtId="0" fontId="27" fillId="0" borderId="39" xfId="0" applyFont="1" applyBorder="1" applyAlignment="1">
      <alignment horizontal="center" vertical="center"/>
    </xf>
    <xf numFmtId="0" fontId="11" fillId="0" borderId="43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7" fillId="0" borderId="42" xfId="0" applyFont="1" applyBorder="1" applyAlignment="1"/>
    <xf numFmtId="0" fontId="11" fillId="0" borderId="32" xfId="0" applyFont="1" applyBorder="1" applyAlignment="1">
      <alignment horizontal="center" vertical="center"/>
    </xf>
    <xf numFmtId="0" fontId="7" fillId="0" borderId="46" xfId="0" applyFont="1" applyBorder="1" applyAlignment="1"/>
    <xf numFmtId="0" fontId="7" fillId="0" borderId="47" xfId="0" applyFont="1" applyBorder="1" applyAlignment="1"/>
    <xf numFmtId="0" fontId="11" fillId="0" borderId="43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7" fillId="0" borderId="45" xfId="0" applyFont="1" applyBorder="1" applyAlignment="1"/>
    <xf numFmtId="0" fontId="27" fillId="0" borderId="71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11" fillId="0" borderId="43" xfId="0" applyFont="1" applyBorder="1" applyAlignment="1">
      <alignment horizontal="left" vertical="center" wrapText="1"/>
    </xf>
    <xf numFmtId="0" fontId="27" fillId="2" borderId="28" xfId="0" applyFont="1" applyFill="1" applyBorder="1" applyAlignment="1">
      <alignment horizontal="center" vertical="center"/>
    </xf>
    <xf numFmtId="0" fontId="7" fillId="0" borderId="34" xfId="0" applyFont="1" applyBorder="1" applyAlignment="1"/>
    <xf numFmtId="0" fontId="10" fillId="2" borderId="28" xfId="52" applyFont="1" applyFill="1" applyBorder="1" applyAlignment="1">
      <alignment horizontal="center" vertical="center" wrapText="1"/>
    </xf>
    <xf numFmtId="0" fontId="11" fillId="0" borderId="43" xfId="0" applyFont="1" applyBorder="1" applyAlignment="1">
      <alignment vertical="center"/>
    </xf>
    <xf numFmtId="0" fontId="11" fillId="0" borderId="36" xfId="0" applyFont="1" applyBorder="1" applyAlignment="1">
      <alignment vertical="center"/>
    </xf>
    <xf numFmtId="0" fontId="11" fillId="0" borderId="43" xfId="0" applyFont="1" applyBorder="1" applyAlignment="1">
      <alignment vertical="center"/>
    </xf>
    <xf numFmtId="0" fontId="11" fillId="2" borderId="36" xfId="0" applyFont="1" applyFill="1" applyBorder="1" applyAlignment="1">
      <alignment horizontal="center" vertical="center"/>
    </xf>
    <xf numFmtId="0" fontId="11" fillId="2" borderId="36" xfId="0" applyFont="1" applyFill="1" applyBorder="1" applyAlignment="1">
      <alignment horizontal="center" vertical="center"/>
    </xf>
    <xf numFmtId="0" fontId="11" fillId="0" borderId="36" xfId="0" applyFont="1" applyBorder="1" applyAlignment="1">
      <alignment vertical="center"/>
    </xf>
    <xf numFmtId="0" fontId="11" fillId="2" borderId="72" xfId="0" applyFont="1" applyFill="1" applyBorder="1" applyAlignment="1">
      <alignment horizontal="center" vertical="center"/>
    </xf>
    <xf numFmtId="49" fontId="10" fillId="0" borderId="30" xfId="0" applyNumberFormat="1" applyFont="1" applyBorder="1" applyAlignment="1">
      <alignment horizontal="left" vertical="center"/>
    </xf>
    <xf numFmtId="0" fontId="7" fillId="0" borderId="41" xfId="0" applyFont="1" applyBorder="1" applyAlignment="1"/>
    <xf numFmtId="49" fontId="10" fillId="0" borderId="31" xfId="0" applyNumberFormat="1" applyFont="1" applyBorder="1" applyAlignment="1">
      <alignment horizontal="left" vertical="center"/>
    </xf>
    <xf numFmtId="0" fontId="7" fillId="0" borderId="73" xfId="0" applyFont="1" applyBorder="1" applyAlignment="1"/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  <cellStyle name="常规 41" xfId="50"/>
    <cellStyle name="常规_Sheet1" xfId="51"/>
    <cellStyle name="常规_Sheet1 2" xf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228601</xdr:colOff>
      <xdr:row>0</xdr:row>
      <xdr:rowOff>101600</xdr:rowOff>
    </xdr:from>
    <xdr:to>
      <xdr:col>1</xdr:col>
      <xdr:colOff>0</xdr:colOff>
      <xdr:row>0</xdr:row>
      <xdr:rowOff>520700</xdr:rowOff>
    </xdr:to>
    <xdr:pic>
      <xdr:nvPicPr>
        <xdr:cNvPr id="2" name="/xl/media/image1.jpe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8600" y="101600"/>
          <a:ext cx="107950" cy="4191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228601</xdr:colOff>
      <xdr:row>0</xdr:row>
      <xdr:rowOff>101600</xdr:rowOff>
    </xdr:from>
    <xdr:to>
      <xdr:col>1</xdr:col>
      <xdr:colOff>752475</xdr:colOff>
      <xdr:row>0</xdr:row>
      <xdr:rowOff>520700</xdr:rowOff>
    </xdr:to>
    <xdr:pic>
      <xdr:nvPicPr>
        <xdr:cNvPr id="3" name="/xl/media/image2.jpe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8600" y="101600"/>
          <a:ext cx="860425" cy="419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228601</xdr:colOff>
      <xdr:row>0</xdr:row>
      <xdr:rowOff>101600</xdr:rowOff>
    </xdr:from>
    <xdr:to>
      <xdr:col>0</xdr:col>
      <xdr:colOff>1047750</xdr:colOff>
      <xdr:row>0</xdr:row>
      <xdr:rowOff>520700</xdr:rowOff>
    </xdr:to>
    <xdr:pic>
      <xdr:nvPicPr>
        <xdr:cNvPr id="2" name="/xl/media/image3.jpe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8600" y="101600"/>
          <a:ext cx="819150" cy="419100"/>
        </a:xfrm>
        <a:prstGeom prst="rect">
          <a:avLst/>
        </a:prstGeom>
      </xdr:spPr>
    </xdr:pic>
    <xdr:clientData/>
  </xdr:twoCellAnchor>
  <xdr:twoCellAnchor editAs="oneCell">
    <xdr:from>
      <xdr:col>0</xdr:col>
      <xdr:colOff>242890</xdr:colOff>
      <xdr:row>0</xdr:row>
      <xdr:rowOff>82550</xdr:rowOff>
    </xdr:from>
    <xdr:to>
      <xdr:col>1</xdr:col>
      <xdr:colOff>166687</xdr:colOff>
      <xdr:row>0</xdr:row>
      <xdr:rowOff>501650</xdr:rowOff>
    </xdr:to>
    <xdr:pic>
      <xdr:nvPicPr>
        <xdr:cNvPr id="3" name="/xl/media/image4.jpe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2570" y="82550"/>
          <a:ext cx="1123950" cy="419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30480</xdr:rowOff>
    </xdr:from>
    <xdr:to>
      <xdr:col>0</xdr:col>
      <xdr:colOff>904217</xdr:colOff>
      <xdr:row>0</xdr:row>
      <xdr:rowOff>464819</xdr:rowOff>
    </xdr:to>
    <xdr:pic>
      <xdr:nvPicPr>
        <xdr:cNvPr id="2" name="/xl/media/image5.jpe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30480"/>
          <a:ext cx="903605" cy="4337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735741</xdr:colOff>
      <xdr:row>0</xdr:row>
      <xdr:rowOff>59671</xdr:rowOff>
    </xdr:from>
    <xdr:to>
      <xdr:col>1</xdr:col>
      <xdr:colOff>841413</xdr:colOff>
      <xdr:row>0</xdr:row>
      <xdr:rowOff>648652</xdr:rowOff>
    </xdr:to>
    <xdr:pic>
      <xdr:nvPicPr>
        <xdr:cNvPr id="2" name="/xl/media/image6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35330" y="59055"/>
          <a:ext cx="1547495" cy="58928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858073</xdr:colOff>
      <xdr:row>0</xdr:row>
      <xdr:rowOff>54536</xdr:rowOff>
    </xdr:from>
    <xdr:to>
      <xdr:col>1</xdr:col>
      <xdr:colOff>0</xdr:colOff>
      <xdr:row>0</xdr:row>
      <xdr:rowOff>694688</xdr:rowOff>
    </xdr:to>
    <xdr:pic>
      <xdr:nvPicPr>
        <xdr:cNvPr id="2" name="/xl/media/image7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57885" y="53975"/>
          <a:ext cx="691515" cy="6400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203835</xdr:colOff>
      <xdr:row>0</xdr:row>
      <xdr:rowOff>41275</xdr:rowOff>
    </xdr:from>
    <xdr:to>
      <xdr:col>1</xdr:col>
      <xdr:colOff>1028700</xdr:colOff>
      <xdr:row>0</xdr:row>
      <xdr:rowOff>681355</xdr:rowOff>
    </xdr:to>
    <xdr:pic>
      <xdr:nvPicPr>
        <xdr:cNvPr id="2" name="/xl/media/image7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3835" y="41275"/>
          <a:ext cx="1872615" cy="6400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workbookViewId="0">
      <selection activeCell="J39" sqref="J39"/>
    </sheetView>
  </sheetViews>
  <sheetFormatPr defaultColWidth="9" defaultRowHeight="15.5" outlineLevelCol="7"/>
  <cols>
    <col min="1" max="1" width="4.41666666666667" style="201" customWidth="1"/>
    <col min="2" max="2" width="17.5833333333333" style="201" customWidth="1"/>
    <col min="3" max="3" width="16.8333333333333" style="201" customWidth="1"/>
    <col min="4" max="4" width="14.8333333333333" style="201" customWidth="1"/>
    <col min="5" max="5" width="6.33333333333333" style="201" customWidth="1"/>
    <col min="6" max="6" width="14.25" style="201" customWidth="1"/>
    <col min="7" max="7" width="16.8333333333333" style="201" customWidth="1"/>
    <col min="8" max="8" width="11.0833333333333" style="201" customWidth="1"/>
    <col min="9" max="16384" width="9" style="201" customWidth="1"/>
  </cols>
  <sheetData>
    <row r="1" s="199" customFormat="1" ht="48.4" customHeight="1" spans="1:8">
      <c r="A1" s="202"/>
      <c r="C1" s="203"/>
      <c r="D1" s="204"/>
      <c r="E1" s="204"/>
      <c r="F1" s="204"/>
      <c r="G1" s="204"/>
      <c r="H1" s="205"/>
    </row>
    <row r="2" s="199" customFormat="1" ht="16.25" customHeight="1" spans="1:8">
      <c r="A2" s="206" t="s">
        <v>0</v>
      </c>
      <c r="B2" s="207"/>
      <c r="C2" s="207"/>
      <c r="D2" s="207"/>
      <c r="E2" s="207"/>
      <c r="F2" s="207"/>
      <c r="G2" s="207"/>
      <c r="H2" s="208"/>
    </row>
    <row r="3" s="199" customFormat="1" ht="16.25" customHeight="1" spans="1:8">
      <c r="A3" s="209" t="s">
        <v>1</v>
      </c>
      <c r="B3" s="210">
        <f ca="1">TODAY()</f>
        <v>46265</v>
      </c>
      <c r="C3" s="207"/>
      <c r="D3" s="211"/>
      <c r="E3" s="212" t="s">
        <v>2</v>
      </c>
      <c r="F3" s="207"/>
      <c r="G3" s="207"/>
      <c r="H3" s="208"/>
    </row>
    <row r="4" spans="1:8">
      <c r="A4" s="213" t="s">
        <v>3</v>
      </c>
      <c r="B4" s="214"/>
      <c r="C4" s="214"/>
      <c r="D4" s="214"/>
      <c r="E4" s="214"/>
      <c r="F4" s="214"/>
      <c r="G4" s="214"/>
      <c r="H4" s="215"/>
    </row>
    <row r="5" s="200" customFormat="1" ht="31.15" customHeight="1" spans="1:8">
      <c r="A5" s="216"/>
      <c r="B5" s="217"/>
      <c r="C5" s="218" t="s">
        <v>4</v>
      </c>
      <c r="D5" s="218" t="s">
        <v>5</v>
      </c>
      <c r="E5" s="218" t="s">
        <v>6</v>
      </c>
      <c r="F5" s="218" t="s">
        <v>7</v>
      </c>
      <c r="G5" s="218" t="s">
        <v>8</v>
      </c>
      <c r="H5" s="219" t="s">
        <v>9</v>
      </c>
    </row>
    <row r="6" ht="16.25" spans="1:8">
      <c r="A6" s="220" t="s">
        <v>10</v>
      </c>
      <c r="B6" s="205"/>
      <c r="C6" s="221" t="s">
        <v>11</v>
      </c>
      <c r="D6" s="222">
        <v>2</v>
      </c>
      <c r="E6" s="222">
        <v>1</v>
      </c>
      <c r="F6" s="222">
        <f>D6*E6</f>
        <v>2</v>
      </c>
      <c r="G6" s="222"/>
      <c r="H6" s="223" t="s">
        <v>12</v>
      </c>
    </row>
    <row r="7" s="199" customFormat="1" ht="16.25" customHeight="1" spans="1:8">
      <c r="A7" s="224"/>
      <c r="B7" s="225"/>
      <c r="C7" s="226" t="s">
        <v>13</v>
      </c>
      <c r="D7" s="227">
        <v>78</v>
      </c>
      <c r="E7" s="228"/>
      <c r="F7" s="227">
        <f>D7*E6</f>
        <v>78</v>
      </c>
      <c r="G7" s="227"/>
      <c r="H7" s="229"/>
    </row>
    <row r="8" s="199" customFormat="1" ht="16.25" customHeight="1" spans="1:8">
      <c r="A8" s="202"/>
      <c r="B8" s="202"/>
      <c r="C8" s="202"/>
      <c r="D8" s="202"/>
      <c r="E8" s="202"/>
      <c r="F8" s="202"/>
      <c r="G8" s="202"/>
      <c r="H8" s="202"/>
    </row>
    <row r="9" spans="1:8">
      <c r="A9" s="230" t="s">
        <v>14</v>
      </c>
      <c r="B9" s="214"/>
      <c r="C9" s="214"/>
      <c r="D9" s="214"/>
      <c r="E9" s="214"/>
      <c r="F9" s="214"/>
      <c r="G9" s="214"/>
      <c r="H9" s="231"/>
    </row>
    <row r="10" spans="1:8">
      <c r="A10" s="232" t="s">
        <v>15</v>
      </c>
      <c r="B10" s="233"/>
      <c r="C10" s="233"/>
      <c r="D10" s="217"/>
      <c r="E10" s="234" t="s">
        <v>16</v>
      </c>
      <c r="F10" s="233"/>
      <c r="G10" s="233"/>
      <c r="H10" s="235"/>
    </row>
    <row r="11" spans="1:8">
      <c r="A11" s="232" t="s">
        <v>17</v>
      </c>
      <c r="B11" s="217"/>
      <c r="C11" s="234" t="s">
        <v>18</v>
      </c>
      <c r="D11" s="234" t="s">
        <v>19</v>
      </c>
      <c r="E11" s="234" t="s">
        <v>17</v>
      </c>
      <c r="F11" s="217"/>
      <c r="G11" s="234" t="s">
        <v>18</v>
      </c>
      <c r="H11" s="236" t="s">
        <v>19</v>
      </c>
    </row>
    <row r="12" s="199" customFormat="1" ht="15" customHeight="1" spans="1:8">
      <c r="A12" s="237" t="s">
        <v>20</v>
      </c>
      <c r="B12" s="217"/>
      <c r="C12" s="222" t="s">
        <v>21</v>
      </c>
      <c r="D12" s="222"/>
      <c r="E12" s="238" t="s">
        <v>20</v>
      </c>
      <c r="F12" s="217"/>
      <c r="G12" s="222" t="s">
        <v>22</v>
      </c>
      <c r="H12" s="239"/>
    </row>
    <row r="13" spans="1:8">
      <c r="A13" s="232" t="s">
        <v>17</v>
      </c>
      <c r="B13" s="217"/>
      <c r="C13" s="234" t="s">
        <v>23</v>
      </c>
      <c r="D13" s="234" t="s">
        <v>19</v>
      </c>
      <c r="E13" s="234" t="s">
        <v>17</v>
      </c>
      <c r="F13" s="217"/>
      <c r="G13" s="234" t="s">
        <v>23</v>
      </c>
      <c r="H13" s="236" t="s">
        <v>19</v>
      </c>
    </row>
    <row r="14" spans="1:8">
      <c r="A14" s="237" t="s">
        <v>24</v>
      </c>
      <c r="B14" s="217"/>
      <c r="C14" s="222" t="s">
        <v>25</v>
      </c>
      <c r="D14" s="222"/>
      <c r="E14" s="221" t="s">
        <v>24</v>
      </c>
      <c r="F14" s="217"/>
      <c r="G14" s="222" t="s">
        <v>26</v>
      </c>
      <c r="H14" s="239"/>
    </row>
    <row r="15" s="199" customFormat="1" ht="16.25" customHeight="1" spans="1:8">
      <c r="A15" s="240" t="s">
        <v>27</v>
      </c>
      <c r="B15" s="241"/>
      <c r="C15" s="227" t="s">
        <v>28</v>
      </c>
      <c r="D15" s="227"/>
      <c r="E15" s="226" t="s">
        <v>27</v>
      </c>
      <c r="F15" s="241"/>
      <c r="G15" s="227" t="s">
        <v>29</v>
      </c>
      <c r="H15" s="242"/>
    </row>
    <row r="16" s="199" customFormat="1" ht="16.25" customHeight="1" spans="1:8">
      <c r="A16" s="202"/>
      <c r="B16" s="202"/>
      <c r="C16" s="202"/>
      <c r="D16" s="202"/>
      <c r="E16" s="202"/>
      <c r="F16" s="202"/>
      <c r="G16" s="202"/>
      <c r="H16" s="202"/>
    </row>
    <row r="17" spans="1:8">
      <c r="A17" s="213" t="s">
        <v>30</v>
      </c>
      <c r="B17" s="214"/>
      <c r="C17" s="214"/>
      <c r="D17" s="214"/>
      <c r="E17" s="214"/>
      <c r="F17" s="214"/>
      <c r="G17" s="214"/>
      <c r="H17" s="215"/>
    </row>
    <row r="18" spans="1:8">
      <c r="A18" s="237" t="s">
        <v>31</v>
      </c>
      <c r="B18" s="217"/>
      <c r="C18" s="221" t="s">
        <v>32</v>
      </c>
      <c r="D18" s="217"/>
      <c r="E18" s="221" t="s">
        <v>33</v>
      </c>
      <c r="F18" s="221" t="s">
        <v>34</v>
      </c>
      <c r="G18" s="221" t="s">
        <v>8</v>
      </c>
      <c r="H18" s="223" t="s">
        <v>9</v>
      </c>
    </row>
    <row r="19" s="199" customFormat="1" ht="15" customHeight="1" spans="1:8">
      <c r="A19" s="237" t="s">
        <v>35</v>
      </c>
      <c r="B19" s="217"/>
      <c r="C19" s="222">
        <v>175</v>
      </c>
      <c r="D19" s="217"/>
      <c r="E19" s="222">
        <v>8</v>
      </c>
      <c r="F19" s="222">
        <f>C19*E19</f>
        <v>1400</v>
      </c>
      <c r="G19" s="222"/>
      <c r="H19" s="223" t="s">
        <v>12</v>
      </c>
    </row>
    <row r="20" spans="1:8">
      <c r="A20" s="237" t="s">
        <v>36</v>
      </c>
      <c r="B20" s="217"/>
      <c r="C20" s="222">
        <v>175</v>
      </c>
      <c r="D20" s="217"/>
      <c r="E20" s="243"/>
      <c r="F20" s="222">
        <f>C20*E19</f>
        <v>1400</v>
      </c>
      <c r="G20" s="222"/>
      <c r="H20" s="244"/>
    </row>
    <row r="21" spans="1:8">
      <c r="A21" s="237" t="s">
        <v>37</v>
      </c>
      <c r="B21" s="217"/>
      <c r="C21" s="222">
        <v>40</v>
      </c>
      <c r="D21" s="217"/>
      <c r="E21" s="243"/>
      <c r="F21" s="222">
        <f>C21*E19</f>
        <v>320</v>
      </c>
      <c r="G21" s="222"/>
      <c r="H21" s="244"/>
    </row>
    <row r="22" spans="1:8">
      <c r="A22" s="245" t="s">
        <v>38</v>
      </c>
      <c r="B22" s="217"/>
      <c r="C22" s="222">
        <v>0.8</v>
      </c>
      <c r="D22" s="217"/>
      <c r="E22" s="243"/>
      <c r="F22" s="222">
        <f>C22*E19</f>
        <v>6.4</v>
      </c>
      <c r="G22" s="222"/>
      <c r="H22" s="244"/>
    </row>
    <row r="23" spans="1:8">
      <c r="A23" s="237" t="s">
        <v>39</v>
      </c>
      <c r="B23" s="217"/>
      <c r="C23" s="222">
        <v>8</v>
      </c>
      <c r="D23" s="217"/>
      <c r="E23" s="243"/>
      <c r="F23" s="222">
        <f>C23*E19</f>
        <v>64</v>
      </c>
      <c r="G23" s="246"/>
      <c r="H23" s="244"/>
    </row>
    <row r="24" s="199" customFormat="1" ht="16.25" customHeight="1" spans="1:8">
      <c r="A24" s="226" t="s">
        <v>40</v>
      </c>
      <c r="B24" s="241"/>
      <c r="C24" s="227">
        <v>2</v>
      </c>
      <c r="D24" s="241"/>
      <c r="E24" s="228"/>
      <c r="F24" s="227">
        <f>C24*E19</f>
        <v>16</v>
      </c>
      <c r="G24" s="227"/>
      <c r="H24" s="229"/>
    </row>
    <row r="25" s="199" customFormat="1" ht="16.25" customHeight="1" spans="1:8">
      <c r="A25" s="247"/>
      <c r="H25" s="248"/>
    </row>
    <row r="26" spans="1:8">
      <c r="A26" s="249" t="s">
        <v>41</v>
      </c>
      <c r="B26" s="214"/>
      <c r="C26" s="214"/>
      <c r="D26" s="214"/>
      <c r="E26" s="214"/>
      <c r="F26" s="214"/>
      <c r="G26" s="214"/>
      <c r="H26" s="250" t="s">
        <v>19</v>
      </c>
    </row>
    <row r="27" s="199" customFormat="1" ht="27" customHeight="1" spans="1:8">
      <c r="A27" s="251" t="s">
        <v>42</v>
      </c>
      <c r="B27" s="233"/>
      <c r="C27" s="233"/>
      <c r="D27" s="233"/>
      <c r="E27" s="233"/>
      <c r="F27" s="233"/>
      <c r="G27" s="217"/>
      <c r="H27" s="239"/>
    </row>
    <row r="28" s="199" customFormat="1" ht="34" customHeight="1" spans="1:8">
      <c r="A28" s="251" t="s">
        <v>43</v>
      </c>
      <c r="B28" s="233"/>
      <c r="C28" s="233"/>
      <c r="D28" s="233"/>
      <c r="E28" s="233"/>
      <c r="F28" s="233"/>
      <c r="G28" s="217"/>
      <c r="H28" s="239"/>
    </row>
    <row r="29" s="199" customFormat="1" ht="52" customHeight="1" spans="1:8">
      <c r="A29" s="251" t="s">
        <v>44</v>
      </c>
      <c r="B29" s="233"/>
      <c r="C29" s="233"/>
      <c r="D29" s="233"/>
      <c r="E29" s="233"/>
      <c r="F29" s="233"/>
      <c r="G29" s="217"/>
      <c r="H29" s="239"/>
    </row>
    <row r="30" s="199" customFormat="1" ht="15.75" customHeight="1" spans="1:8">
      <c r="A30" s="252" t="s">
        <v>45</v>
      </c>
      <c r="B30" s="214"/>
      <c r="C30" s="214"/>
      <c r="D30" s="214"/>
      <c r="E30" s="214"/>
      <c r="F30" s="214"/>
      <c r="G30" s="253"/>
      <c r="H30" s="250" t="s">
        <v>19</v>
      </c>
    </row>
    <row r="31" s="199" customFormat="1" ht="68" customHeight="1" spans="1:8">
      <c r="A31" s="251" t="s">
        <v>46</v>
      </c>
      <c r="B31" s="233"/>
      <c r="C31" s="233"/>
      <c r="D31" s="233"/>
      <c r="E31" s="233"/>
      <c r="F31" s="233"/>
      <c r="G31" s="217"/>
      <c r="H31" s="239"/>
    </row>
    <row r="32" s="199" customFormat="1" ht="15.75" customHeight="1" spans="1:8">
      <c r="A32" s="254" t="s">
        <v>47</v>
      </c>
      <c r="B32" s="214"/>
      <c r="C32" s="214"/>
      <c r="D32" s="214"/>
      <c r="E32" s="214"/>
      <c r="F32" s="214"/>
      <c r="G32" s="214"/>
      <c r="H32" s="253"/>
    </row>
    <row r="33" spans="1:8">
      <c r="A33" s="255" t="s">
        <v>48</v>
      </c>
      <c r="B33" s="221" t="s">
        <v>49</v>
      </c>
      <c r="C33" s="218" t="s">
        <v>50</v>
      </c>
      <c r="D33" s="221" t="s">
        <v>51</v>
      </c>
      <c r="E33" s="256" t="s">
        <v>48</v>
      </c>
      <c r="F33" s="221" t="s">
        <v>49</v>
      </c>
      <c r="G33" s="218" t="s">
        <v>50</v>
      </c>
      <c r="H33" s="223" t="s">
        <v>51</v>
      </c>
    </row>
    <row r="34" s="199" customFormat="1" ht="15.4" customHeight="1" spans="1:8">
      <c r="A34" s="257">
        <v>1</v>
      </c>
      <c r="B34" s="258" t="s">
        <v>52</v>
      </c>
      <c r="C34" s="259" t="s">
        <v>53</v>
      </c>
      <c r="D34" s="259" t="s">
        <v>54</v>
      </c>
      <c r="E34" s="260">
        <v>5</v>
      </c>
      <c r="F34" s="258" t="s">
        <v>55</v>
      </c>
      <c r="G34" s="259" t="s">
        <v>56</v>
      </c>
      <c r="H34" s="261" t="s">
        <v>57</v>
      </c>
    </row>
    <row r="35" s="199" customFormat="1" ht="16" customHeight="1" spans="1:8">
      <c r="A35" s="257">
        <v>2</v>
      </c>
      <c r="B35" s="258" t="s">
        <v>58</v>
      </c>
      <c r="C35" s="259" t="s">
        <v>53</v>
      </c>
      <c r="D35" s="221" t="s">
        <v>59</v>
      </c>
      <c r="E35" s="260">
        <v>6</v>
      </c>
      <c r="F35" s="258" t="s">
        <v>60</v>
      </c>
      <c r="G35" s="259" t="s">
        <v>61</v>
      </c>
      <c r="H35" s="261" t="s">
        <v>57</v>
      </c>
    </row>
    <row r="36" spans="1:8">
      <c r="A36" s="257">
        <v>3</v>
      </c>
      <c r="B36" s="258" t="s">
        <v>62</v>
      </c>
      <c r="C36" s="259" t="s">
        <v>53</v>
      </c>
      <c r="D36" s="221" t="s">
        <v>63</v>
      </c>
      <c r="E36" s="260">
        <v>7</v>
      </c>
      <c r="F36" s="258" t="s">
        <v>64</v>
      </c>
      <c r="G36" s="259" t="s">
        <v>65</v>
      </c>
      <c r="H36" s="261" t="s">
        <v>57</v>
      </c>
    </row>
    <row r="37" spans="1:8">
      <c r="A37" s="257">
        <v>4</v>
      </c>
      <c r="B37" s="258" t="s">
        <v>66</v>
      </c>
      <c r="C37" s="259" t="s">
        <v>67</v>
      </c>
      <c r="D37" s="258" t="s">
        <v>57</v>
      </c>
      <c r="E37" s="260">
        <v>8</v>
      </c>
      <c r="F37" s="258" t="s">
        <v>68</v>
      </c>
      <c r="G37" s="259" t="s">
        <v>67</v>
      </c>
      <c r="H37" s="261" t="s">
        <v>57</v>
      </c>
    </row>
    <row r="38" s="199" customFormat="1" ht="15.75" customHeight="1" spans="1:8">
      <c r="A38" s="262" t="s">
        <v>69</v>
      </c>
      <c r="B38" s="263"/>
      <c r="C38" s="263"/>
      <c r="D38" s="241"/>
      <c r="E38" s="264" t="s">
        <v>70</v>
      </c>
      <c r="F38" s="263"/>
      <c r="G38" s="263"/>
      <c r="H38" s="265"/>
    </row>
  </sheetData>
  <mergeCells count="50">
    <mergeCell ref="A1:B1"/>
    <mergeCell ref="C1:H1"/>
    <mergeCell ref="A2:H2"/>
    <mergeCell ref="B3:D3"/>
    <mergeCell ref="E3:H3"/>
    <mergeCell ref="A4:H4"/>
    <mergeCell ref="A5:B5"/>
    <mergeCell ref="A9:H9"/>
    <mergeCell ref="A10:D10"/>
    <mergeCell ref="E10:H10"/>
    <mergeCell ref="A11:B11"/>
    <mergeCell ref="E11:F11"/>
    <mergeCell ref="A12:B12"/>
    <mergeCell ref="E12:F12"/>
    <mergeCell ref="A13:B13"/>
    <mergeCell ref="E13:F13"/>
    <mergeCell ref="A14:B14"/>
    <mergeCell ref="E14:F14"/>
    <mergeCell ref="A15:B15"/>
    <mergeCell ref="E15:F15"/>
    <mergeCell ref="A17:H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H25"/>
    <mergeCell ref="A26:G26"/>
    <mergeCell ref="A27:G27"/>
    <mergeCell ref="A28:G28"/>
    <mergeCell ref="A29:G29"/>
    <mergeCell ref="A30:G30"/>
    <mergeCell ref="A31:G31"/>
    <mergeCell ref="A32:H32"/>
    <mergeCell ref="A38:D38"/>
    <mergeCell ref="E38:H38"/>
    <mergeCell ref="E6:E7"/>
    <mergeCell ref="E19:E24"/>
    <mergeCell ref="H6:H7"/>
    <mergeCell ref="H19:H24"/>
    <mergeCell ref="A6:B7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6"/>
  <sheetViews>
    <sheetView zoomScale="90" zoomScaleNormal="90" topLeftCell="A37" workbookViewId="0">
      <selection activeCell="H32" sqref="H32:L44"/>
    </sheetView>
  </sheetViews>
  <sheetFormatPr defaultColWidth="20.5" defaultRowHeight="14"/>
  <cols>
    <col min="1" max="1" width="15.75" style="90" customWidth="1"/>
    <col min="2" max="2" width="12.25" style="90" customWidth="1"/>
    <col min="3" max="3" width="14.1916666666667" style="90" customWidth="1"/>
    <col min="4" max="4" width="15.9166666666667" style="90" customWidth="1"/>
    <col min="5" max="5" width="12.6416666666667" style="90" customWidth="1"/>
    <col min="6" max="6" width="13.1583333333333" style="90" customWidth="1"/>
    <col min="7" max="7" width="18.4083333333333" style="90" customWidth="1"/>
    <col min="8" max="8" width="14.0833333333333" style="90" customWidth="1"/>
    <col min="9" max="9" width="11.5833333333333" style="90" customWidth="1"/>
    <col min="10" max="10" width="12.3833333333333" style="90" customWidth="1"/>
    <col min="11" max="11" width="12.1666666666667" style="90" customWidth="1"/>
    <col min="12" max="12" width="12" style="90" customWidth="1"/>
    <col min="13" max="13" width="6.75" style="90" customWidth="1"/>
    <col min="14" max="16384" width="20.5" style="90" customWidth="1"/>
  </cols>
  <sheetData>
    <row r="1" s="44" customFormat="1" ht="48.4" customHeight="1" spans="1:12">
      <c r="A1" s="164"/>
      <c r="B1" s="68"/>
      <c r="C1" s="165"/>
      <c r="D1" s="67"/>
      <c r="E1" s="67"/>
      <c r="F1" s="67"/>
      <c r="G1" s="67"/>
      <c r="H1" s="67"/>
      <c r="I1" s="67"/>
      <c r="J1" s="67"/>
      <c r="K1" s="67"/>
      <c r="L1" s="68"/>
    </row>
    <row r="2" s="44" customFormat="1" ht="40" customHeight="1" spans="1:12">
      <c r="A2" s="166" t="s">
        <v>71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8"/>
    </row>
    <row r="3" spans="1:12">
      <c r="A3" s="167" t="s">
        <v>72</v>
      </c>
      <c r="B3" s="168">
        <f ca="1">TODAY()</f>
        <v>46265</v>
      </c>
      <c r="C3" s="67"/>
      <c r="D3" s="67"/>
      <c r="E3" s="67"/>
      <c r="F3" s="67"/>
      <c r="G3" s="68"/>
      <c r="H3" s="167" t="s">
        <v>73</v>
      </c>
      <c r="I3" s="169"/>
      <c r="J3" s="67"/>
      <c r="K3" s="67"/>
      <c r="L3" s="68"/>
    </row>
    <row r="4" s="44" customFormat="1" ht="16.5" customHeight="1" spans="1:12">
      <c r="A4" s="148" t="s">
        <v>74</v>
      </c>
      <c r="B4" s="67"/>
      <c r="C4" s="67"/>
      <c r="D4" s="67"/>
      <c r="E4" s="67"/>
      <c r="F4" s="67"/>
      <c r="G4" s="67"/>
      <c r="H4" s="67"/>
      <c r="I4" s="67"/>
      <c r="J4" s="67"/>
      <c r="K4" s="67"/>
      <c r="L4" s="68"/>
    </row>
    <row r="5" spans="1:12">
      <c r="A5" s="170" t="s">
        <v>75</v>
      </c>
      <c r="B5" s="67"/>
      <c r="C5" s="67"/>
      <c r="D5" s="67"/>
      <c r="E5" s="67"/>
      <c r="F5" s="67"/>
      <c r="G5" s="171" t="s">
        <v>76</v>
      </c>
      <c r="H5" s="67"/>
      <c r="I5" s="67"/>
      <c r="J5" s="67"/>
      <c r="K5" s="67"/>
      <c r="L5" s="68"/>
    </row>
    <row r="6" s="44" customFormat="1" ht="28" customHeight="1" spans="1:12">
      <c r="A6" s="172" t="s">
        <v>77</v>
      </c>
      <c r="B6" s="172" t="s">
        <v>78</v>
      </c>
      <c r="C6" s="173" t="s">
        <v>79</v>
      </c>
      <c r="D6" s="173" t="s">
        <v>80</v>
      </c>
      <c r="E6" s="173" t="s">
        <v>81</v>
      </c>
      <c r="F6" s="173" t="s">
        <v>82</v>
      </c>
      <c r="G6" s="173" t="s">
        <v>83</v>
      </c>
      <c r="H6" s="174" t="s">
        <v>78</v>
      </c>
      <c r="I6" s="173" t="s">
        <v>79</v>
      </c>
      <c r="J6" s="173" t="s">
        <v>80</v>
      </c>
      <c r="K6" s="173" t="s">
        <v>81</v>
      </c>
      <c r="L6" s="173" t="s">
        <v>82</v>
      </c>
    </row>
    <row r="7" spans="1:12">
      <c r="A7" s="175" t="s">
        <v>84</v>
      </c>
      <c r="B7" s="176" t="s">
        <v>85</v>
      </c>
      <c r="C7" s="176" t="s">
        <v>86</v>
      </c>
      <c r="D7" s="176" t="s">
        <v>87</v>
      </c>
      <c r="E7" s="176" t="s">
        <v>88</v>
      </c>
      <c r="F7" s="177" t="s">
        <v>89</v>
      </c>
      <c r="G7" s="177" t="s">
        <v>90</v>
      </c>
      <c r="H7" s="177" t="s">
        <v>91</v>
      </c>
      <c r="I7" s="178" t="s">
        <v>92</v>
      </c>
      <c r="J7" s="177" t="s">
        <v>93</v>
      </c>
      <c r="K7" s="177" t="s">
        <v>94</v>
      </c>
      <c r="L7" s="178" t="s">
        <v>95</v>
      </c>
    </row>
    <row r="8" spans="1:12">
      <c r="A8" s="175" t="s">
        <v>96</v>
      </c>
      <c r="B8" s="176" t="s">
        <v>85</v>
      </c>
      <c r="C8" s="176" t="s">
        <v>87</v>
      </c>
      <c r="D8" s="176" t="s">
        <v>88</v>
      </c>
      <c r="E8" s="176" t="s">
        <v>97</v>
      </c>
      <c r="F8" s="177" t="s">
        <v>98</v>
      </c>
      <c r="G8" s="177" t="s">
        <v>99</v>
      </c>
      <c r="H8" s="177" t="s">
        <v>91</v>
      </c>
      <c r="I8" s="177" t="s">
        <v>92</v>
      </c>
      <c r="J8" s="177" t="s">
        <v>100</v>
      </c>
      <c r="K8" s="178" t="s">
        <v>101</v>
      </c>
      <c r="L8" s="178" t="s">
        <v>102</v>
      </c>
    </row>
    <row r="9" spans="1:12">
      <c r="A9" s="179" t="s">
        <v>103</v>
      </c>
      <c r="B9" s="176" t="s">
        <v>85</v>
      </c>
      <c r="C9" s="176" t="s">
        <v>104</v>
      </c>
      <c r="D9" s="176" t="s">
        <v>105</v>
      </c>
      <c r="E9" s="176" t="s">
        <v>106</v>
      </c>
      <c r="F9" s="177" t="s">
        <v>107</v>
      </c>
      <c r="G9" s="177" t="s">
        <v>108</v>
      </c>
      <c r="H9" s="177" t="s">
        <v>91</v>
      </c>
      <c r="I9" s="177" t="s">
        <v>92</v>
      </c>
      <c r="J9" s="177" t="s">
        <v>100</v>
      </c>
      <c r="K9" s="178" t="s">
        <v>101</v>
      </c>
      <c r="L9" s="178" t="s">
        <v>102</v>
      </c>
    </row>
    <row r="10" spans="1:12">
      <c r="A10" s="179" t="s">
        <v>109</v>
      </c>
      <c r="B10" s="176" t="s">
        <v>85</v>
      </c>
      <c r="C10" s="176" t="s">
        <v>104</v>
      </c>
      <c r="D10" s="176" t="s">
        <v>105</v>
      </c>
      <c r="E10" s="176" t="s">
        <v>106</v>
      </c>
      <c r="F10" s="177" t="s">
        <v>107</v>
      </c>
      <c r="G10" s="177" t="s">
        <v>110</v>
      </c>
      <c r="H10" s="177" t="s">
        <v>111</v>
      </c>
      <c r="I10" s="177" t="s">
        <v>112</v>
      </c>
      <c r="J10" s="177" t="s">
        <v>113</v>
      </c>
      <c r="K10" s="178" t="s">
        <v>114</v>
      </c>
      <c r="L10" s="178" t="s">
        <v>115</v>
      </c>
    </row>
    <row r="11" spans="1:12">
      <c r="A11" s="180" t="s">
        <v>116</v>
      </c>
      <c r="B11" s="176" t="s">
        <v>117</v>
      </c>
      <c r="C11" s="176" t="s">
        <v>118</v>
      </c>
      <c r="D11" s="176" t="s">
        <v>119</v>
      </c>
      <c r="E11" s="176" t="s">
        <v>120</v>
      </c>
      <c r="F11" s="177" t="s">
        <v>121</v>
      </c>
      <c r="G11" s="177" t="s">
        <v>122</v>
      </c>
      <c r="H11" s="177" t="s">
        <v>91</v>
      </c>
      <c r="I11" s="177" t="s">
        <v>93</v>
      </c>
      <c r="J11" s="178" t="s">
        <v>94</v>
      </c>
      <c r="K11" s="178" t="s">
        <v>123</v>
      </c>
      <c r="L11" s="178" t="s">
        <v>102</v>
      </c>
    </row>
    <row r="12" spans="1:12">
      <c r="A12" s="175" t="s">
        <v>124</v>
      </c>
      <c r="B12" s="176" t="s">
        <v>117</v>
      </c>
      <c r="C12" s="176" t="s">
        <v>125</v>
      </c>
      <c r="D12" s="176" t="s">
        <v>126</v>
      </c>
      <c r="E12" s="176" t="s">
        <v>127</v>
      </c>
      <c r="F12" s="177" t="s">
        <v>128</v>
      </c>
      <c r="G12" s="177" t="s">
        <v>129</v>
      </c>
      <c r="H12" s="177" t="s">
        <v>111</v>
      </c>
      <c r="I12" s="178" t="s">
        <v>101</v>
      </c>
      <c r="J12" s="178" t="s">
        <v>130</v>
      </c>
      <c r="K12" s="177" t="s">
        <v>131</v>
      </c>
      <c r="L12" s="177" t="s">
        <v>132</v>
      </c>
    </row>
    <row r="13" spans="1:12">
      <c r="A13" s="176"/>
      <c r="B13" s="176"/>
      <c r="C13" s="176"/>
      <c r="D13" s="176"/>
      <c r="E13" s="176"/>
      <c r="F13" s="177"/>
      <c r="G13" s="177" t="s">
        <v>133</v>
      </c>
      <c r="H13" s="177" t="s">
        <v>111</v>
      </c>
      <c r="I13" s="177" t="s">
        <v>134</v>
      </c>
      <c r="J13" s="177" t="s">
        <v>135</v>
      </c>
      <c r="K13" s="177" t="s">
        <v>136</v>
      </c>
      <c r="L13" s="177" t="s">
        <v>137</v>
      </c>
    </row>
    <row r="14" spans="1:12">
      <c r="A14" s="176"/>
      <c r="B14" s="176"/>
      <c r="C14" s="176"/>
      <c r="D14" s="176"/>
      <c r="E14" s="176"/>
      <c r="F14" s="177"/>
      <c r="G14" s="90" t="s">
        <v>138</v>
      </c>
      <c r="H14" s="177" t="s">
        <v>117</v>
      </c>
      <c r="I14" s="177" t="s">
        <v>139</v>
      </c>
      <c r="J14" s="177" t="s">
        <v>140</v>
      </c>
      <c r="K14" s="177" t="s">
        <v>141</v>
      </c>
      <c r="L14" s="178" t="s">
        <v>142</v>
      </c>
    </row>
    <row r="15" spans="1:12">
      <c r="A15" s="176"/>
      <c r="B15" s="176"/>
      <c r="C15" s="176"/>
      <c r="D15" s="176"/>
      <c r="E15" s="176"/>
      <c r="F15" s="177"/>
      <c r="G15" s="177" t="s">
        <v>143</v>
      </c>
      <c r="H15" s="177" t="s">
        <v>117</v>
      </c>
      <c r="I15" s="177" t="s">
        <v>144</v>
      </c>
      <c r="J15" s="177" t="s">
        <v>145</v>
      </c>
      <c r="K15" s="177" t="s">
        <v>146</v>
      </c>
      <c r="L15" s="177" t="s">
        <v>147</v>
      </c>
    </row>
    <row r="16" spans="1:12">
      <c r="A16" s="176"/>
      <c r="B16" s="176"/>
      <c r="C16" s="176"/>
      <c r="D16" s="176"/>
      <c r="E16" s="176"/>
      <c r="F16" s="177"/>
      <c r="G16" s="177" t="s">
        <v>148</v>
      </c>
      <c r="H16" s="177" t="s">
        <v>117</v>
      </c>
      <c r="I16" s="177" t="s">
        <v>149</v>
      </c>
      <c r="J16" s="177" t="s">
        <v>150</v>
      </c>
      <c r="K16" s="177" t="s">
        <v>151</v>
      </c>
      <c r="L16" s="177" t="s">
        <v>152</v>
      </c>
    </row>
    <row r="17" s="44" customFormat="1" ht="15" customHeight="1" spans="1:12">
      <c r="A17" s="171"/>
      <c r="B17" s="171"/>
      <c r="C17" s="171"/>
      <c r="D17" s="171"/>
      <c r="E17" s="171"/>
      <c r="F17" s="181"/>
      <c r="G17" s="177" t="s">
        <v>153</v>
      </c>
      <c r="H17" s="176" t="s">
        <v>85</v>
      </c>
      <c r="I17" s="177" t="s">
        <v>154</v>
      </c>
      <c r="J17" s="177" t="s">
        <v>155</v>
      </c>
      <c r="K17" s="177" t="s">
        <v>156</v>
      </c>
      <c r="L17" s="177" t="s">
        <v>157</v>
      </c>
    </row>
    <row r="18" s="44" customFormat="1" ht="28" spans="1:12">
      <c r="A18" s="176"/>
      <c r="B18" s="176"/>
      <c r="C18" s="176"/>
      <c r="D18" s="176"/>
      <c r="E18" s="176"/>
      <c r="F18" s="177"/>
      <c r="G18" s="177" t="s">
        <v>158</v>
      </c>
      <c r="H18" s="176" t="s">
        <v>159</v>
      </c>
      <c r="I18" s="177" t="s">
        <v>160</v>
      </c>
      <c r="J18" s="177" t="s">
        <v>161</v>
      </c>
      <c r="K18" s="177" t="s">
        <v>162</v>
      </c>
      <c r="L18" s="177" t="s">
        <v>163</v>
      </c>
    </row>
    <row r="19" s="44" customFormat="1" ht="28" spans="1:12">
      <c r="A19" s="176"/>
      <c r="B19" s="176"/>
      <c r="C19" s="176"/>
      <c r="D19" s="176"/>
      <c r="E19" s="176"/>
      <c r="F19" s="177"/>
      <c r="G19" s="177" t="s">
        <v>164</v>
      </c>
      <c r="H19" s="176" t="s">
        <v>159</v>
      </c>
      <c r="I19" s="177" t="s">
        <v>161</v>
      </c>
      <c r="J19" s="177" t="s">
        <v>162</v>
      </c>
      <c r="K19" s="177" t="s">
        <v>165</v>
      </c>
      <c r="L19" s="177" t="s">
        <v>166</v>
      </c>
    </row>
    <row r="20" s="44" customFormat="1" ht="28" spans="1:12">
      <c r="A20" s="176"/>
      <c r="B20" s="176"/>
      <c r="C20" s="176"/>
      <c r="D20" s="176"/>
      <c r="E20" s="176"/>
      <c r="F20" s="177"/>
      <c r="G20" s="177" t="s">
        <v>167</v>
      </c>
      <c r="H20" s="176" t="s">
        <v>117</v>
      </c>
      <c r="I20" s="177" t="s">
        <v>168</v>
      </c>
      <c r="J20" s="177" t="s">
        <v>169</v>
      </c>
      <c r="K20" s="177" t="s">
        <v>170</v>
      </c>
      <c r="L20" s="177" t="s">
        <v>166</v>
      </c>
    </row>
    <row r="21" spans="1:12">
      <c r="A21" s="176"/>
      <c r="B21" s="176"/>
      <c r="C21" s="176"/>
      <c r="D21" s="176"/>
      <c r="E21" s="176"/>
      <c r="F21" s="177"/>
      <c r="G21" s="177" t="s">
        <v>171</v>
      </c>
      <c r="H21" s="177" t="s">
        <v>91</v>
      </c>
      <c r="I21" s="177" t="s">
        <v>172</v>
      </c>
      <c r="J21" s="177" t="s">
        <v>172</v>
      </c>
      <c r="K21" s="177" t="s">
        <v>172</v>
      </c>
      <c r="L21" s="177" t="s">
        <v>172</v>
      </c>
    </row>
    <row r="22" spans="1:12">
      <c r="A22" s="171" t="s">
        <v>173</v>
      </c>
      <c r="B22" s="67"/>
      <c r="C22" s="68"/>
      <c r="D22" s="171" t="s">
        <v>174</v>
      </c>
      <c r="E22" s="67"/>
      <c r="F22" s="68"/>
      <c r="G22" s="182" t="s">
        <v>175</v>
      </c>
      <c r="H22" s="67"/>
      <c r="I22" s="67"/>
      <c r="J22" s="67"/>
      <c r="K22" s="67"/>
      <c r="L22" s="67"/>
    </row>
    <row r="23" s="44" customFormat="1" ht="28" customHeight="1" spans="1:12">
      <c r="A23" s="183" t="s">
        <v>77</v>
      </c>
      <c r="B23" s="183" t="s">
        <v>78</v>
      </c>
      <c r="C23" s="173" t="s">
        <v>176</v>
      </c>
      <c r="D23" s="183" t="s">
        <v>77</v>
      </c>
      <c r="E23" s="183" t="s">
        <v>78</v>
      </c>
      <c r="F23" s="173" t="s">
        <v>177</v>
      </c>
      <c r="G23" s="183" t="s">
        <v>77</v>
      </c>
      <c r="H23" s="183" t="s">
        <v>78</v>
      </c>
      <c r="I23" s="173" t="s">
        <v>79</v>
      </c>
      <c r="J23" s="173" t="s">
        <v>80</v>
      </c>
      <c r="K23" s="173" t="s">
        <v>81</v>
      </c>
      <c r="L23" s="173" t="s">
        <v>82</v>
      </c>
    </row>
    <row r="24" s="44" customFormat="1" ht="29" customHeight="1" spans="1:12">
      <c r="A24" s="181" t="s">
        <v>178</v>
      </c>
      <c r="B24" s="184" t="s">
        <v>91</v>
      </c>
      <c r="C24" s="181" t="s">
        <v>92</v>
      </c>
      <c r="D24" s="181" t="s">
        <v>179</v>
      </c>
      <c r="E24" s="184" t="s">
        <v>91</v>
      </c>
      <c r="F24" s="181" t="s">
        <v>112</v>
      </c>
      <c r="G24" s="181" t="s">
        <v>178</v>
      </c>
      <c r="H24" s="184" t="s">
        <v>91</v>
      </c>
      <c r="I24" s="181" t="s">
        <v>92</v>
      </c>
      <c r="J24" s="181" t="s">
        <v>92</v>
      </c>
      <c r="K24" s="181" t="s">
        <v>92</v>
      </c>
      <c r="L24" s="181" t="s">
        <v>92</v>
      </c>
    </row>
    <row r="25" s="44" customFormat="1" ht="27" customHeight="1" spans="1:12">
      <c r="A25" s="181" t="s">
        <v>180</v>
      </c>
      <c r="B25" s="184" t="s">
        <v>91</v>
      </c>
      <c r="C25" s="181" t="s">
        <v>181</v>
      </c>
      <c r="D25" s="181" t="s">
        <v>182</v>
      </c>
      <c r="E25" s="184" t="s">
        <v>91</v>
      </c>
      <c r="F25" s="181" t="s">
        <v>183</v>
      </c>
      <c r="G25" s="181" t="s">
        <v>180</v>
      </c>
      <c r="H25" s="184" t="s">
        <v>91</v>
      </c>
      <c r="I25" s="181" t="s">
        <v>181</v>
      </c>
      <c r="J25" s="181" t="s">
        <v>181</v>
      </c>
      <c r="K25" s="181" t="s">
        <v>181</v>
      </c>
      <c r="L25" s="181" t="s">
        <v>181</v>
      </c>
    </row>
    <row r="26" s="44" customFormat="1" ht="28" customHeight="1" spans="1:12">
      <c r="A26" s="181" t="s">
        <v>184</v>
      </c>
      <c r="B26" s="184" t="s">
        <v>91</v>
      </c>
      <c r="C26" s="181" t="s">
        <v>185</v>
      </c>
      <c r="D26" s="181" t="s">
        <v>186</v>
      </c>
      <c r="E26" s="184" t="s">
        <v>91</v>
      </c>
      <c r="F26" s="181" t="s">
        <v>93</v>
      </c>
      <c r="G26" s="181" t="s">
        <v>184</v>
      </c>
      <c r="H26" s="184" t="s">
        <v>91</v>
      </c>
      <c r="I26" s="181" t="s">
        <v>94</v>
      </c>
      <c r="J26" s="181" t="s">
        <v>94</v>
      </c>
      <c r="K26" s="181" t="s">
        <v>94</v>
      </c>
      <c r="L26" s="181" t="s">
        <v>94</v>
      </c>
    </row>
    <row r="27" s="44" customFormat="1" ht="28" customHeight="1" spans="1:12">
      <c r="A27" s="181" t="s">
        <v>187</v>
      </c>
      <c r="B27" s="184" t="s">
        <v>91</v>
      </c>
      <c r="C27" s="181" t="s">
        <v>188</v>
      </c>
      <c r="D27" s="181" t="s">
        <v>189</v>
      </c>
      <c r="E27" s="184" t="s">
        <v>91</v>
      </c>
      <c r="F27" s="181" t="s">
        <v>93</v>
      </c>
      <c r="G27" s="181" t="s">
        <v>187</v>
      </c>
      <c r="H27" s="184" t="s">
        <v>91</v>
      </c>
      <c r="I27" s="181" t="s">
        <v>190</v>
      </c>
      <c r="J27" s="181" t="s">
        <v>190</v>
      </c>
      <c r="K27" s="181" t="s">
        <v>190</v>
      </c>
      <c r="L27" s="181" t="s">
        <v>190</v>
      </c>
    </row>
    <row r="28" s="44" customFormat="1" ht="28" customHeight="1" spans="1:12">
      <c r="A28" s="181" t="s">
        <v>191</v>
      </c>
      <c r="B28" s="184" t="s">
        <v>91</v>
      </c>
      <c r="C28" s="181" t="s">
        <v>192</v>
      </c>
      <c r="D28" s="181"/>
      <c r="E28" s="184"/>
      <c r="F28" s="181"/>
      <c r="G28" s="181" t="s">
        <v>191</v>
      </c>
      <c r="H28" s="184" t="s">
        <v>91</v>
      </c>
      <c r="I28" s="181" t="s">
        <v>93</v>
      </c>
      <c r="J28" s="181" t="s">
        <v>93</v>
      </c>
      <c r="K28" s="181" t="s">
        <v>93</v>
      </c>
      <c r="L28" s="181" t="s">
        <v>93</v>
      </c>
    </row>
    <row r="29" s="44" customFormat="1" ht="27" customHeight="1" spans="1:12">
      <c r="A29" s="181" t="s">
        <v>189</v>
      </c>
      <c r="B29" s="184" t="s">
        <v>91</v>
      </c>
      <c r="C29" s="181" t="s">
        <v>192</v>
      </c>
      <c r="D29" s="181"/>
      <c r="E29" s="184"/>
      <c r="F29" s="181"/>
      <c r="G29" s="181" t="s">
        <v>189</v>
      </c>
      <c r="H29" s="184" t="s">
        <v>91</v>
      </c>
      <c r="I29" s="181" t="s">
        <v>93</v>
      </c>
      <c r="J29" s="181" t="s">
        <v>93</v>
      </c>
      <c r="K29" s="181" t="s">
        <v>93</v>
      </c>
      <c r="L29" s="181" t="s">
        <v>93</v>
      </c>
    </row>
    <row r="30" spans="1:12">
      <c r="A30" s="171" t="s">
        <v>193</v>
      </c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8"/>
    </row>
    <row r="31" spans="1:12">
      <c r="A31" s="171" t="s">
        <v>194</v>
      </c>
      <c r="B31" s="67"/>
      <c r="C31" s="68"/>
      <c r="D31" s="171" t="s">
        <v>195</v>
      </c>
      <c r="E31" s="67"/>
      <c r="F31" s="67"/>
      <c r="G31" s="68"/>
      <c r="H31" s="148" t="s">
        <v>196</v>
      </c>
      <c r="I31" s="67"/>
      <c r="J31" s="67"/>
      <c r="K31" s="67"/>
      <c r="L31" s="68"/>
    </row>
    <row r="32" spans="1:12">
      <c r="A32" s="176" t="s">
        <v>197</v>
      </c>
      <c r="B32" s="176" t="s">
        <v>198</v>
      </c>
      <c r="C32" s="181" t="s">
        <v>199</v>
      </c>
      <c r="D32" s="185" t="s">
        <v>197</v>
      </c>
      <c r="E32" s="68"/>
      <c r="F32" s="186" t="s">
        <v>198</v>
      </c>
      <c r="G32" s="181" t="s">
        <v>199</v>
      </c>
      <c r="H32" s="187" t="s">
        <v>200</v>
      </c>
      <c r="I32" s="188"/>
      <c r="J32" s="188"/>
      <c r="K32" s="188"/>
      <c r="L32" s="189"/>
    </row>
    <row r="33" spans="1:12">
      <c r="A33" s="176" t="s">
        <v>201</v>
      </c>
      <c r="B33" s="176">
        <v>4</v>
      </c>
      <c r="C33" s="190" t="s">
        <v>202</v>
      </c>
      <c r="D33" s="185" t="s">
        <v>203</v>
      </c>
      <c r="E33" s="68"/>
      <c r="F33" s="186">
        <v>1</v>
      </c>
      <c r="G33" s="190" t="s">
        <v>202</v>
      </c>
      <c r="H33" s="191"/>
      <c r="L33" s="192"/>
    </row>
    <row r="34" s="44" customFormat="1" ht="13.9" customHeight="1" spans="1:12">
      <c r="A34" s="176" t="s">
        <v>204</v>
      </c>
      <c r="B34" s="176">
        <v>2</v>
      </c>
      <c r="C34" s="190" t="s">
        <v>202</v>
      </c>
      <c r="D34" s="185" t="s">
        <v>205</v>
      </c>
      <c r="E34" s="68"/>
      <c r="F34" s="186">
        <v>4</v>
      </c>
      <c r="G34" s="190" t="s">
        <v>202</v>
      </c>
      <c r="H34" s="191"/>
      <c r="L34" s="192"/>
    </row>
    <row r="35" s="44" customFormat="1" ht="14.25" customHeight="1" spans="1:12">
      <c r="A35" s="176" t="s">
        <v>206</v>
      </c>
      <c r="B35" s="176">
        <v>1</v>
      </c>
      <c r="C35" s="190" t="s">
        <v>202</v>
      </c>
      <c r="D35" s="185" t="s">
        <v>207</v>
      </c>
      <c r="E35" s="68"/>
      <c r="F35" s="186">
        <v>4</v>
      </c>
      <c r="G35" s="190" t="s">
        <v>202</v>
      </c>
      <c r="H35" s="191"/>
      <c r="L35" s="192"/>
    </row>
    <row r="36" s="44" customFormat="1" ht="13.9" customHeight="1" spans="1:12">
      <c r="A36" s="176" t="s">
        <v>208</v>
      </c>
      <c r="B36" s="176">
        <v>1</v>
      </c>
      <c r="C36" s="190" t="s">
        <v>202</v>
      </c>
      <c r="D36" s="185" t="s">
        <v>206</v>
      </c>
      <c r="E36" s="68"/>
      <c r="F36" s="186">
        <v>4</v>
      </c>
      <c r="G36" s="190" t="s">
        <v>202</v>
      </c>
      <c r="H36" s="191"/>
      <c r="L36" s="192"/>
    </row>
    <row r="37" s="44" customFormat="1" ht="13.9" customHeight="1" spans="1:12">
      <c r="A37" s="176" t="s">
        <v>209</v>
      </c>
      <c r="B37" s="176">
        <v>6</v>
      </c>
      <c r="C37" s="190" t="s">
        <v>202</v>
      </c>
      <c r="D37" s="185" t="s">
        <v>204</v>
      </c>
      <c r="E37" s="68"/>
      <c r="F37" s="90">
        <v>1</v>
      </c>
      <c r="G37" s="190" t="s">
        <v>202</v>
      </c>
      <c r="H37" s="191"/>
      <c r="L37" s="192"/>
    </row>
    <row r="38" s="44" customFormat="1" ht="13.9" customHeight="1" spans="1:12">
      <c r="A38" s="176" t="s">
        <v>210</v>
      </c>
      <c r="B38" s="176">
        <v>4</v>
      </c>
      <c r="C38" s="190" t="s">
        <v>202</v>
      </c>
      <c r="D38" s="185" t="s">
        <v>208</v>
      </c>
      <c r="E38" s="68"/>
      <c r="F38" s="186">
        <v>2</v>
      </c>
      <c r="G38" s="190" t="s">
        <v>202</v>
      </c>
      <c r="H38" s="191"/>
      <c r="L38" s="192"/>
    </row>
    <row r="39" s="44" customFormat="1" ht="14.25" customHeight="1" spans="1:12">
      <c r="A39" s="176" t="s">
        <v>211</v>
      </c>
      <c r="B39" s="176">
        <v>2</v>
      </c>
      <c r="C39" s="190" t="s">
        <v>202</v>
      </c>
      <c r="D39" s="185" t="s">
        <v>212</v>
      </c>
      <c r="E39" s="68"/>
      <c r="F39" s="186">
        <v>1</v>
      </c>
      <c r="G39" s="190" t="s">
        <v>202</v>
      </c>
      <c r="H39" s="191"/>
      <c r="L39" s="192"/>
    </row>
    <row r="40" s="44" customFormat="1" ht="14.25" customHeight="1" spans="1:12">
      <c r="A40" s="176"/>
      <c r="B40" s="176"/>
      <c r="C40" s="190"/>
      <c r="D40" s="185" t="s">
        <v>213</v>
      </c>
      <c r="E40" s="68"/>
      <c r="F40" s="193" t="s">
        <v>214</v>
      </c>
      <c r="G40" s="190" t="s">
        <v>202</v>
      </c>
      <c r="H40" s="191"/>
      <c r="L40" s="192"/>
    </row>
    <row r="41" s="44" customFormat="1" ht="14.25" customHeight="1" spans="1:12">
      <c r="A41" s="176"/>
      <c r="B41" s="176"/>
      <c r="C41" s="190"/>
      <c r="D41" s="185" t="s">
        <v>215</v>
      </c>
      <c r="E41" s="68"/>
      <c r="F41" s="194" t="s">
        <v>216</v>
      </c>
      <c r="G41" s="190" t="s">
        <v>202</v>
      </c>
      <c r="H41" s="191"/>
      <c r="L41" s="192"/>
    </row>
    <row r="42" s="44" customFormat="1" ht="14.25" customHeight="1" spans="1:12">
      <c r="A42" s="176"/>
      <c r="B42" s="176"/>
      <c r="C42" s="190"/>
      <c r="D42" s="185" t="s">
        <v>111</v>
      </c>
      <c r="E42" s="68"/>
      <c r="F42" s="186">
        <v>5</v>
      </c>
      <c r="G42" s="190" t="s">
        <v>202</v>
      </c>
      <c r="H42" s="191"/>
      <c r="L42" s="192"/>
    </row>
    <row r="43" s="44" customFormat="1" ht="14.25" customHeight="1" spans="1:12">
      <c r="A43" s="176"/>
      <c r="B43" s="176"/>
      <c r="C43" s="190"/>
      <c r="D43" s="185" t="s">
        <v>91</v>
      </c>
      <c r="E43" s="68"/>
      <c r="F43" s="186">
        <v>11</v>
      </c>
      <c r="G43" s="190" t="s">
        <v>202</v>
      </c>
      <c r="H43" s="191"/>
      <c r="L43" s="192"/>
    </row>
    <row r="44" s="44" customFormat="1" ht="15" customHeight="1" spans="1:12">
      <c r="A44" s="176"/>
      <c r="B44" s="148"/>
      <c r="C44" s="148"/>
      <c r="D44" s="185" t="s">
        <v>211</v>
      </c>
      <c r="E44" s="68"/>
      <c r="F44" s="193" t="s">
        <v>217</v>
      </c>
      <c r="G44" s="190" t="s">
        <v>202</v>
      </c>
      <c r="H44" s="124"/>
      <c r="I44" s="195"/>
      <c r="J44" s="195"/>
      <c r="K44" s="195"/>
      <c r="L44" s="125"/>
    </row>
    <row r="45" s="44" customFormat="1" ht="29.25" customHeight="1" spans="1:12">
      <c r="A45" s="176" t="s">
        <v>218</v>
      </c>
      <c r="B45" s="148"/>
      <c r="C45" s="67"/>
      <c r="D45" s="67"/>
      <c r="E45" s="67"/>
      <c r="F45" s="67"/>
      <c r="G45" s="68"/>
      <c r="H45" s="176" t="s">
        <v>219</v>
      </c>
      <c r="I45" s="148"/>
      <c r="J45" s="67"/>
      <c r="K45" s="67"/>
      <c r="L45" s="68"/>
    </row>
    <row r="46" spans="1:12">
      <c r="A46" s="148" t="s">
        <v>220</v>
      </c>
      <c r="B46" s="67"/>
      <c r="C46" s="67"/>
      <c r="D46" s="67"/>
      <c r="E46" s="67"/>
      <c r="F46" s="67"/>
      <c r="G46" s="67"/>
      <c r="H46" s="67"/>
      <c r="I46" s="68"/>
      <c r="J46" s="148" t="s">
        <v>221</v>
      </c>
      <c r="K46" s="67"/>
      <c r="L46" s="68"/>
    </row>
    <row r="47" spans="1:12">
      <c r="A47" s="176">
        <v>1</v>
      </c>
      <c r="B47" s="196"/>
      <c r="C47" s="196"/>
      <c r="D47" s="197" t="s">
        <v>202</v>
      </c>
      <c r="E47" s="176">
        <v>1</v>
      </c>
      <c r="F47" s="196"/>
      <c r="G47" s="198"/>
      <c r="H47" s="197" t="s">
        <v>202</v>
      </c>
      <c r="J47" s="176">
        <v>1</v>
      </c>
      <c r="K47" s="176"/>
      <c r="L47" s="176"/>
    </row>
    <row r="48" spans="1:12">
      <c r="A48" s="176">
        <v>2</v>
      </c>
      <c r="B48" s="196"/>
      <c r="C48" s="196"/>
      <c r="D48" s="176"/>
      <c r="E48" s="176">
        <v>2</v>
      </c>
      <c r="F48" s="196"/>
      <c r="G48" s="198"/>
      <c r="H48" s="198"/>
      <c r="I48" s="176"/>
      <c r="J48" s="176">
        <v>2</v>
      </c>
      <c r="K48" s="176"/>
      <c r="L48" s="176"/>
    </row>
    <row r="49" spans="1:12">
      <c r="A49" s="176">
        <v>3</v>
      </c>
      <c r="B49" s="196"/>
      <c r="C49" s="196"/>
      <c r="D49" s="176"/>
      <c r="E49" s="176">
        <v>3</v>
      </c>
      <c r="F49" s="196"/>
      <c r="G49" s="198"/>
      <c r="H49" s="198"/>
      <c r="I49" s="176"/>
      <c r="J49" s="176">
        <v>3</v>
      </c>
      <c r="K49" s="176"/>
      <c r="L49" s="176"/>
    </row>
    <row r="50" spans="1:12">
      <c r="A50" s="176">
        <v>4</v>
      </c>
      <c r="B50" s="196"/>
      <c r="C50" s="196"/>
      <c r="D50" s="176"/>
      <c r="E50" s="176">
        <v>4</v>
      </c>
      <c r="F50" s="196"/>
      <c r="G50" s="198"/>
      <c r="H50" s="198"/>
      <c r="I50" s="176"/>
      <c r="J50" s="176">
        <v>4</v>
      </c>
      <c r="K50" s="176"/>
      <c r="L50" s="176"/>
    </row>
    <row r="51" spans="1:12">
      <c r="A51" s="176">
        <v>5</v>
      </c>
      <c r="B51" s="196"/>
      <c r="C51" s="196"/>
      <c r="D51" s="176"/>
      <c r="E51" s="176">
        <v>5</v>
      </c>
      <c r="F51" s="196"/>
      <c r="G51" s="198"/>
      <c r="H51" s="198"/>
      <c r="I51" s="176"/>
      <c r="J51" s="176"/>
      <c r="K51" s="176"/>
      <c r="L51" s="176"/>
    </row>
    <row r="52" spans="1:12">
      <c r="A52" s="176">
        <v>6</v>
      </c>
      <c r="B52" s="196"/>
      <c r="C52" s="196"/>
      <c r="D52" s="176"/>
      <c r="E52" s="176">
        <v>6</v>
      </c>
      <c r="F52" s="196"/>
      <c r="G52" s="198"/>
      <c r="H52" s="198"/>
      <c r="I52" s="176"/>
      <c r="J52" s="176"/>
      <c r="K52" s="176"/>
      <c r="L52" s="176"/>
    </row>
    <row r="53" spans="1:12">
      <c r="A53" s="176">
        <v>7</v>
      </c>
      <c r="B53" s="196"/>
      <c r="C53" s="196"/>
      <c r="D53" s="176"/>
      <c r="E53" s="176">
        <v>7</v>
      </c>
      <c r="F53" s="196"/>
      <c r="G53" s="198"/>
      <c r="H53" s="198"/>
      <c r="I53" s="176"/>
      <c r="J53" s="176"/>
      <c r="K53" s="176"/>
      <c r="L53" s="176"/>
    </row>
    <row r="54" spans="1:12">
      <c r="A54" s="176">
        <v>8</v>
      </c>
      <c r="B54" s="196"/>
      <c r="C54" s="196"/>
      <c r="D54" s="176"/>
      <c r="E54" s="176">
        <v>8</v>
      </c>
      <c r="F54" s="196"/>
      <c r="G54" s="198"/>
      <c r="H54" s="198"/>
      <c r="I54" s="176"/>
      <c r="J54" s="176"/>
      <c r="K54" s="176"/>
      <c r="L54" s="176"/>
    </row>
    <row r="55" spans="1:12">
      <c r="A55" s="176" t="s">
        <v>222</v>
      </c>
      <c r="B55" s="148"/>
      <c r="C55" s="67"/>
      <c r="D55" s="67"/>
      <c r="E55" s="67"/>
      <c r="F55" s="67"/>
      <c r="G55" s="67"/>
      <c r="H55" s="67"/>
      <c r="I55" s="67"/>
      <c r="J55" s="67"/>
      <c r="K55" s="67"/>
      <c r="L55" s="68"/>
    </row>
    <row r="56" spans="1:12">
      <c r="A56" s="176" t="s">
        <v>218</v>
      </c>
      <c r="B56" s="148"/>
      <c r="C56" s="67"/>
      <c r="D56" s="67"/>
      <c r="E56" s="67"/>
      <c r="F56" s="67"/>
      <c r="G56" s="68"/>
      <c r="H56" s="176" t="s">
        <v>219</v>
      </c>
      <c r="I56" s="148"/>
      <c r="J56" s="67"/>
      <c r="K56" s="67"/>
      <c r="L56" s="68"/>
    </row>
  </sheetData>
  <mergeCells count="36">
    <mergeCell ref="A1:B1"/>
    <mergeCell ref="C1:L1"/>
    <mergeCell ref="A2:L2"/>
    <mergeCell ref="B3:G3"/>
    <mergeCell ref="I3:L3"/>
    <mergeCell ref="A4:L4"/>
    <mergeCell ref="A5:F5"/>
    <mergeCell ref="G5:L5"/>
    <mergeCell ref="A22:C22"/>
    <mergeCell ref="D22:F22"/>
    <mergeCell ref="G22:L22"/>
    <mergeCell ref="A30:L30"/>
    <mergeCell ref="A31:C31"/>
    <mergeCell ref="D31:G31"/>
    <mergeCell ref="H31:L31"/>
    <mergeCell ref="D32:E32"/>
    <mergeCell ref="D33:E33"/>
    <mergeCell ref="D34:E34"/>
    <mergeCell ref="D35:E35"/>
    <mergeCell ref="D36:E36"/>
    <mergeCell ref="D37:E37"/>
    <mergeCell ref="D38:E38"/>
    <mergeCell ref="D39:E39"/>
    <mergeCell ref="D40:E40"/>
    <mergeCell ref="D41:E41"/>
    <mergeCell ref="D42:E42"/>
    <mergeCell ref="D43:E43"/>
    <mergeCell ref="D44:E44"/>
    <mergeCell ref="B45:G45"/>
    <mergeCell ref="I45:L45"/>
    <mergeCell ref="A46:I46"/>
    <mergeCell ref="J46:L46"/>
    <mergeCell ref="B55:L55"/>
    <mergeCell ref="B56:G56"/>
    <mergeCell ref="I56:L56"/>
    <mergeCell ref="H32:L44"/>
  </mergeCell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8"/>
  <sheetViews>
    <sheetView topLeftCell="A13" workbookViewId="0">
      <selection activeCell="A24" sqref="A24:A26"/>
    </sheetView>
  </sheetViews>
  <sheetFormatPr defaultColWidth="9" defaultRowHeight="14" outlineLevelCol="6"/>
  <cols>
    <col min="1" max="1" width="13.75" style="90" customWidth="1"/>
    <col min="2" max="2" width="26.9166666666667" style="90" customWidth="1"/>
    <col min="3" max="3" width="19.3333333333333" style="90" customWidth="1"/>
    <col min="4" max="4" width="25.5833333333333" style="90" customWidth="1"/>
    <col min="5" max="5" width="23.25" style="90" customWidth="1"/>
    <col min="6" max="16384" width="9" style="90" customWidth="1"/>
  </cols>
  <sheetData>
    <row r="1" s="44" customFormat="1" ht="58.75" customHeight="1" spans="1:7">
      <c r="A1" s="95"/>
      <c r="B1" s="96"/>
      <c r="C1" s="97"/>
    </row>
    <row r="2" s="44" customFormat="1" ht="24" customHeight="1" spans="1:7">
      <c r="A2" s="98" t="s">
        <v>223</v>
      </c>
      <c r="B2" s="99"/>
      <c r="C2" s="99"/>
      <c r="D2" s="99"/>
      <c r="E2" s="100"/>
    </row>
    <row r="3" s="93" customFormat="1" ht="24" customHeight="1" spans="1:7">
      <c r="A3" s="101" t="s">
        <v>224</v>
      </c>
      <c r="B3" s="102"/>
      <c r="C3" s="62"/>
      <c r="D3" s="103" t="s">
        <v>225</v>
      </c>
      <c r="E3" s="104"/>
      <c r="F3" s="90"/>
      <c r="G3" s="51"/>
    </row>
    <row r="4" s="93" customFormat="1" ht="24" customHeight="1" spans="1:7">
      <c r="A4" s="105" t="s">
        <v>226</v>
      </c>
      <c r="B4" s="106"/>
      <c r="C4" s="72"/>
      <c r="D4" s="107" t="s">
        <v>227</v>
      </c>
      <c r="E4" s="108"/>
      <c r="F4" s="90"/>
    </row>
    <row r="5" s="93" customFormat="1" ht="6" customHeight="1" spans="1:7">
      <c r="A5" s="109"/>
      <c r="B5" s="110"/>
      <c r="C5" s="110"/>
      <c r="D5" s="109"/>
      <c r="E5" s="111"/>
      <c r="F5" s="90"/>
    </row>
    <row r="6" s="44" customFormat="1" ht="6" customHeight="1" spans="1:7">
      <c r="A6" s="112"/>
      <c r="B6" s="113"/>
      <c r="C6" s="113"/>
      <c r="D6" s="114"/>
      <c r="E6" s="115"/>
    </row>
    <row r="7" s="44" customFormat="1" ht="30" customHeight="1" spans="1:7">
      <c r="A7" s="116" t="s">
        <v>228</v>
      </c>
      <c r="B7" s="117" t="s">
        <v>229</v>
      </c>
      <c r="C7" s="118" t="s">
        <v>230</v>
      </c>
      <c r="D7" s="119" t="s">
        <v>231</v>
      </c>
      <c r="E7" s="120"/>
    </row>
    <row r="8" s="44" customFormat="1" ht="24" customHeight="1" spans="1:7">
      <c r="A8" s="121"/>
      <c r="B8" s="122"/>
      <c r="C8" s="123"/>
      <c r="D8" s="124"/>
      <c r="E8" s="125"/>
    </row>
    <row r="9" s="44" customFormat="1" ht="6" customHeight="1" spans="1:7">
      <c r="A9" s="112"/>
      <c r="B9" s="126"/>
      <c r="C9" s="114"/>
      <c r="D9" s="115"/>
      <c r="E9" s="115"/>
    </row>
    <row r="10" s="44" customFormat="1" ht="24" customHeight="1" spans="1:7">
      <c r="A10" s="127" t="s">
        <v>232</v>
      </c>
      <c r="B10" s="128" t="s">
        <v>233</v>
      </c>
      <c r="C10" s="62"/>
      <c r="D10" s="129" t="s">
        <v>234</v>
      </c>
      <c r="E10" s="130" t="s">
        <v>235</v>
      </c>
    </row>
    <row r="11" s="44" customFormat="1" ht="24" customHeight="1" spans="1:7">
      <c r="A11" s="131"/>
      <c r="B11" s="132" t="s">
        <v>236</v>
      </c>
      <c r="C11" s="68"/>
      <c r="D11" s="133">
        <v>21</v>
      </c>
      <c r="E11" s="134"/>
    </row>
    <row r="12" s="44" customFormat="1" ht="24" customHeight="1" spans="1:7">
      <c r="A12" s="131"/>
      <c r="B12" s="132" t="s">
        <v>237</v>
      </c>
      <c r="C12" s="68"/>
      <c r="D12" s="133">
        <v>7</v>
      </c>
      <c r="E12" s="134"/>
    </row>
    <row r="13" s="44" customFormat="1" ht="24" customHeight="1" spans="1:7">
      <c r="A13" s="131"/>
      <c r="B13" s="132" t="s">
        <v>238</v>
      </c>
      <c r="C13" s="68"/>
      <c r="D13" s="133">
        <v>1</v>
      </c>
      <c r="E13" s="134"/>
    </row>
    <row r="14" s="44" customFormat="1" ht="24" customHeight="1" spans="1:7">
      <c r="A14" s="121"/>
      <c r="B14" s="135" t="s">
        <v>239</v>
      </c>
      <c r="C14" s="71"/>
      <c r="D14" s="71"/>
      <c r="E14" s="72"/>
    </row>
    <row r="15" s="44" customFormat="1" ht="6" customHeight="1" spans="1:7">
      <c r="A15" s="136"/>
      <c r="B15" s="113"/>
      <c r="C15" s="113"/>
      <c r="D15" s="113"/>
      <c r="E15" s="113"/>
    </row>
    <row r="16" s="94" customFormat="1" ht="30" customHeight="1" spans="1:7">
      <c r="A16" s="137" t="s">
        <v>240</v>
      </c>
      <c r="B16" s="138" t="s">
        <v>241</v>
      </c>
      <c r="C16" s="61"/>
      <c r="D16" s="61"/>
      <c r="E16" s="62"/>
    </row>
    <row r="17" s="94" customFormat="1" ht="30" customHeight="1" spans="1:5">
      <c r="A17" s="121"/>
      <c r="B17" s="139" t="s">
        <v>242</v>
      </c>
      <c r="C17" s="67"/>
      <c r="D17" s="67"/>
      <c r="E17" s="68"/>
    </row>
    <row r="18" s="94" customFormat="1" ht="6" customHeight="1" spans="1:5">
      <c r="A18" s="140"/>
      <c r="B18" s="141"/>
      <c r="C18" s="141"/>
      <c r="D18" s="141"/>
      <c r="E18" s="141"/>
    </row>
    <row r="19" s="94" customFormat="1" ht="24" customHeight="1" spans="1:5">
      <c r="A19" s="142" t="s">
        <v>243</v>
      </c>
      <c r="B19" s="143" t="s">
        <v>244</v>
      </c>
      <c r="C19" s="129" t="s">
        <v>235</v>
      </c>
      <c r="D19" s="129" t="s">
        <v>244</v>
      </c>
      <c r="E19" s="144" t="s">
        <v>235</v>
      </c>
    </row>
    <row r="20" s="94" customFormat="1" ht="24" customHeight="1" spans="1:5">
      <c r="A20" s="131"/>
      <c r="B20" s="145" t="s">
        <v>245</v>
      </c>
      <c r="C20" s="146"/>
      <c r="D20" s="133" t="s">
        <v>246</v>
      </c>
      <c r="E20" s="147"/>
    </row>
    <row r="21" s="94" customFormat="1" ht="24" customHeight="1" spans="1:5">
      <c r="A21" s="131"/>
      <c r="B21" s="145" t="s">
        <v>247</v>
      </c>
      <c r="C21" s="148" t="s">
        <v>248</v>
      </c>
      <c r="D21" s="133" t="s">
        <v>249</v>
      </c>
      <c r="E21" s="149" t="s">
        <v>250</v>
      </c>
    </row>
    <row r="22" s="94" customFormat="1" ht="24" customHeight="1" spans="1:5">
      <c r="A22" s="121"/>
      <c r="B22" s="150" t="s">
        <v>251</v>
      </c>
      <c r="C22" s="71"/>
      <c r="D22" s="71"/>
      <c r="E22" s="72"/>
    </row>
    <row r="23" s="94" customFormat="1" ht="6" customHeight="1" spans="1:5">
      <c r="A23" s="151"/>
      <c r="B23" s="140"/>
      <c r="C23" s="140"/>
      <c r="D23" s="140"/>
      <c r="E23" s="140"/>
    </row>
    <row r="24" s="94" customFormat="1" ht="30" customHeight="1" spans="1:5">
      <c r="A24" s="142" t="s">
        <v>252</v>
      </c>
      <c r="B24" s="143" t="s">
        <v>253</v>
      </c>
      <c r="C24" s="152" t="s">
        <v>254</v>
      </c>
      <c r="D24" s="152" t="s">
        <v>255</v>
      </c>
      <c r="E24" s="144" t="s">
        <v>235</v>
      </c>
    </row>
    <row r="25" s="94" customFormat="1" ht="25" customHeight="1" spans="1:5">
      <c r="A25" s="131"/>
      <c r="B25" s="153"/>
      <c r="C25" s="148" t="s">
        <v>256</v>
      </c>
      <c r="D25" s="154"/>
      <c r="E25" s="155"/>
    </row>
    <row r="26" s="94" customFormat="1" ht="25" customHeight="1" spans="1:5">
      <c r="A26" s="121"/>
      <c r="B26" s="156"/>
      <c r="C26" s="123" t="s">
        <v>257</v>
      </c>
      <c r="D26" s="157"/>
      <c r="E26" s="158"/>
    </row>
    <row r="27" s="94" customFormat="1" ht="6" customHeight="1" spans="1:5">
      <c r="A27" s="151"/>
      <c r="B27" s="114"/>
      <c r="C27" s="114"/>
      <c r="D27" s="114"/>
      <c r="E27" s="159"/>
    </row>
    <row r="28" s="94" customFormat="1" ht="25" customHeight="1" spans="1:5">
      <c r="A28" s="160" t="s">
        <v>258</v>
      </c>
      <c r="B28" s="161"/>
      <c r="C28" s="161"/>
      <c r="D28" s="162" t="s">
        <v>219</v>
      </c>
      <c r="E28" s="163"/>
    </row>
  </sheetData>
  <mergeCells count="20">
    <mergeCell ref="A1:B1"/>
    <mergeCell ref="C1:E1"/>
    <mergeCell ref="A2:E2"/>
    <mergeCell ref="B3:C3"/>
    <mergeCell ref="B4:C4"/>
    <mergeCell ref="B10:C10"/>
    <mergeCell ref="B11:C11"/>
    <mergeCell ref="B12:C12"/>
    <mergeCell ref="B13:C13"/>
    <mergeCell ref="B14:E14"/>
    <mergeCell ref="B16:E16"/>
    <mergeCell ref="B17:E17"/>
    <mergeCell ref="B22:E22"/>
    <mergeCell ref="D28:E28"/>
    <mergeCell ref="A7:A8"/>
    <mergeCell ref="A10:A14"/>
    <mergeCell ref="A16:A17"/>
    <mergeCell ref="A19:A22"/>
    <mergeCell ref="A24:A26"/>
    <mergeCell ref="D7:E8"/>
  </mergeCells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workbookViewId="0">
      <selection activeCell="A1" sqref="A1:B1"/>
    </sheetView>
  </sheetViews>
  <sheetFormatPr defaultColWidth="9" defaultRowHeight="15.5" outlineLevelCol="6"/>
  <cols>
    <col min="1" max="1" width="18.9166666666667" style="46" customWidth="1"/>
    <col min="2" max="4" width="22.75" style="46" customWidth="1"/>
    <col min="5" max="5" width="26.3333333333333" style="46" customWidth="1"/>
    <col min="6" max="6" width="22.75" style="46" customWidth="1"/>
    <col min="7" max="16384" width="9" style="90" customWidth="1"/>
  </cols>
  <sheetData>
    <row r="1" s="44" customFormat="1" ht="57.5" customHeight="1" spans="1:7">
      <c r="A1" s="47"/>
      <c r="B1" s="5"/>
      <c r="C1" s="48"/>
      <c r="D1" s="5"/>
      <c r="E1" s="5"/>
      <c r="F1" s="49"/>
    </row>
    <row r="2" s="44" customFormat="1" ht="21.65" customHeight="1" spans="1:7">
      <c r="A2" s="91" t="s">
        <v>259</v>
      </c>
      <c r="B2" s="5"/>
      <c r="C2" s="5"/>
      <c r="D2" s="5"/>
      <c r="E2" s="5"/>
      <c r="F2" s="49"/>
      <c r="G2" s="51"/>
    </row>
    <row r="3" s="89" customFormat="1" ht="4.75" customHeight="1" spans="1:7">
      <c r="A3" s="52"/>
      <c r="B3" s="52"/>
      <c r="C3" s="52"/>
      <c r="D3" s="52"/>
      <c r="E3" s="52"/>
      <c r="F3" s="52"/>
    </row>
    <row r="4" s="89" customFormat="1" ht="18" customHeight="1" spans="1:7">
      <c r="A4" s="53" t="s">
        <v>260</v>
      </c>
      <c r="B4" s="54" t="s">
        <v>253</v>
      </c>
      <c r="C4" s="54" t="s">
        <v>261</v>
      </c>
      <c r="D4" s="54" t="s">
        <v>262</v>
      </c>
      <c r="E4" s="54" t="s">
        <v>263</v>
      </c>
      <c r="F4" s="55" t="s">
        <v>264</v>
      </c>
    </row>
    <row r="5" s="44" customFormat="1" ht="15.65" customHeight="1" spans="1:7">
      <c r="A5" s="56"/>
      <c r="B5" s="57"/>
      <c r="C5" s="57"/>
      <c r="D5" s="57"/>
      <c r="E5" s="57"/>
      <c r="F5" s="58"/>
    </row>
    <row r="6" s="44" customFormat="1" ht="4.25" customHeight="1" spans="1:7">
      <c r="A6" s="52"/>
      <c r="B6" s="52"/>
      <c r="C6" s="52"/>
      <c r="D6" s="52"/>
      <c r="E6" s="52"/>
      <c r="F6" s="52"/>
    </row>
    <row r="7" s="44" customFormat="1" ht="4.75" customHeight="1" spans="1:7">
      <c r="A7" s="92"/>
      <c r="B7" s="60"/>
      <c r="C7" s="60"/>
      <c r="D7" s="60"/>
      <c r="E7" s="60"/>
      <c r="F7" s="92"/>
    </row>
    <row r="8" s="44" customFormat="1" ht="21" customHeight="1" spans="1:7">
      <c r="A8" s="53" t="s">
        <v>265</v>
      </c>
      <c r="B8" s="54" t="s">
        <v>77</v>
      </c>
      <c r="C8" s="61"/>
      <c r="D8" s="62"/>
      <c r="E8" s="63" t="s">
        <v>266</v>
      </c>
      <c r="F8" s="64" t="s">
        <v>199</v>
      </c>
    </row>
    <row r="9" s="44" customFormat="1" ht="21" customHeight="1" spans="1:7">
      <c r="A9" s="65"/>
      <c r="B9" s="66" t="s">
        <v>267</v>
      </c>
      <c r="C9" s="67"/>
      <c r="D9" s="68"/>
      <c r="E9" s="66">
        <v>100</v>
      </c>
      <c r="F9" s="69"/>
    </row>
    <row r="10" s="44" customFormat="1" ht="21" customHeight="1" spans="1:7">
      <c r="A10" s="65"/>
      <c r="B10" s="66" t="s">
        <v>268</v>
      </c>
      <c r="C10" s="67"/>
      <c r="D10" s="68"/>
      <c r="E10" s="66">
        <v>50</v>
      </c>
      <c r="F10" s="69"/>
    </row>
    <row r="11" s="44" customFormat="1" ht="21" customHeight="1" spans="1:7">
      <c r="A11" s="65"/>
      <c r="B11" s="66" t="s">
        <v>269</v>
      </c>
      <c r="C11" s="67"/>
      <c r="D11" s="68"/>
      <c r="E11" s="66">
        <v>50</v>
      </c>
      <c r="F11" s="69"/>
    </row>
    <row r="12" s="44" customFormat="1" ht="21" customHeight="1" spans="1:7">
      <c r="A12" s="70"/>
      <c r="B12" s="57" t="s">
        <v>270</v>
      </c>
      <c r="C12" s="71"/>
      <c r="D12" s="72"/>
      <c r="E12" s="57">
        <v>1</v>
      </c>
      <c r="F12" s="58"/>
    </row>
    <row r="13" s="44" customFormat="1" ht="7.25" customHeight="1" spans="1:7">
      <c r="A13" s="73"/>
      <c r="B13" s="73"/>
      <c r="C13" s="73"/>
      <c r="D13" s="73"/>
      <c r="E13" s="73"/>
      <c r="F13" s="73"/>
    </row>
    <row r="14" s="44" customFormat="1" ht="22.25" customHeight="1" spans="1:7">
      <c r="A14" s="74" t="s">
        <v>271</v>
      </c>
      <c r="B14" s="54" t="s">
        <v>77</v>
      </c>
      <c r="C14" s="62"/>
      <c r="D14" s="54" t="s">
        <v>272</v>
      </c>
      <c r="E14" s="63" t="s">
        <v>266</v>
      </c>
      <c r="F14" s="64" t="s">
        <v>199</v>
      </c>
    </row>
    <row r="15" s="44" customFormat="1" ht="22.25" customHeight="1" spans="1:7">
      <c r="A15" s="65"/>
      <c r="B15" s="66" t="s">
        <v>273</v>
      </c>
      <c r="C15" s="68"/>
      <c r="D15" s="66">
        <v>1</v>
      </c>
      <c r="E15" s="66">
        <v>320</v>
      </c>
      <c r="F15" s="69"/>
    </row>
    <row r="16" s="44" customFormat="1" ht="22.25" customHeight="1" spans="1:7">
      <c r="A16" s="65"/>
      <c r="B16" s="66" t="s">
        <v>274</v>
      </c>
      <c r="C16" s="68"/>
      <c r="D16" s="66">
        <v>2</v>
      </c>
      <c r="E16" s="66">
        <v>560</v>
      </c>
      <c r="F16" s="69"/>
    </row>
    <row r="17" s="44" customFormat="1" ht="22.25" customHeight="1" spans="1:6">
      <c r="A17" s="65"/>
      <c r="B17" s="66" t="s">
        <v>275</v>
      </c>
      <c r="C17" s="68"/>
      <c r="D17" s="66">
        <v>1</v>
      </c>
      <c r="E17" s="66">
        <v>320</v>
      </c>
      <c r="F17" s="69"/>
    </row>
    <row r="18" s="44" customFormat="1" ht="22.25" customHeight="1" spans="1:6">
      <c r="A18" s="70"/>
      <c r="B18" s="66" t="s">
        <v>275</v>
      </c>
      <c r="C18" s="68"/>
      <c r="D18" s="66">
        <v>2</v>
      </c>
      <c r="E18" s="66">
        <v>280</v>
      </c>
      <c r="F18" s="69"/>
    </row>
    <row r="19" s="44" customFormat="1" ht="22.25" customHeight="1" spans="1:6">
      <c r="A19" s="75" t="s">
        <v>276</v>
      </c>
      <c r="B19" s="66" t="s">
        <v>77</v>
      </c>
      <c r="C19" s="68"/>
      <c r="D19" s="66" t="s">
        <v>272</v>
      </c>
      <c r="E19" s="76" t="s">
        <v>266</v>
      </c>
      <c r="F19" s="69" t="s">
        <v>199</v>
      </c>
    </row>
    <row r="20" s="44" customFormat="1" ht="22.25" customHeight="1" spans="1:6">
      <c r="A20" s="65"/>
      <c r="B20" s="66" t="s">
        <v>273</v>
      </c>
      <c r="C20" s="68"/>
      <c r="D20" s="66">
        <v>1</v>
      </c>
      <c r="E20" s="66">
        <v>320</v>
      </c>
      <c r="F20" s="69"/>
    </row>
    <row r="21" s="44" customFormat="1" ht="22.25" customHeight="1" spans="1:6">
      <c r="A21" s="65"/>
      <c r="B21" s="66" t="s">
        <v>274</v>
      </c>
      <c r="C21" s="68"/>
      <c r="D21" s="66">
        <v>2</v>
      </c>
      <c r="E21" s="66">
        <v>560</v>
      </c>
      <c r="F21" s="69"/>
    </row>
    <row r="22" s="44" customFormat="1" ht="22.25" customHeight="1" spans="1:6">
      <c r="A22" s="65"/>
      <c r="B22" s="66" t="s">
        <v>275</v>
      </c>
      <c r="C22" s="68"/>
      <c r="D22" s="66">
        <v>1</v>
      </c>
      <c r="E22" s="66">
        <v>320</v>
      </c>
      <c r="F22" s="69"/>
    </row>
    <row r="23" s="44" customFormat="1" ht="22.25" customHeight="1" spans="1:6">
      <c r="A23" s="70"/>
      <c r="B23" s="66" t="s">
        <v>275</v>
      </c>
      <c r="C23" s="68"/>
      <c r="D23" s="66">
        <v>2</v>
      </c>
      <c r="E23" s="66">
        <v>280</v>
      </c>
      <c r="F23" s="69"/>
    </row>
    <row r="24" s="44" customFormat="1" ht="22.25" customHeight="1" spans="1:6">
      <c r="A24" s="75" t="s">
        <v>277</v>
      </c>
      <c r="B24" s="66" t="s">
        <v>77</v>
      </c>
      <c r="C24" s="68"/>
      <c r="D24" s="66" t="s">
        <v>272</v>
      </c>
      <c r="E24" s="76" t="s">
        <v>266</v>
      </c>
      <c r="F24" s="69" t="s">
        <v>199</v>
      </c>
    </row>
    <row r="25" s="44" customFormat="1" ht="22.25" customHeight="1" spans="1:6">
      <c r="A25" s="65"/>
      <c r="B25" s="66" t="s">
        <v>273</v>
      </c>
      <c r="C25" s="68"/>
      <c r="D25" s="66">
        <v>1</v>
      </c>
      <c r="E25" s="66">
        <v>440</v>
      </c>
      <c r="F25" s="69"/>
    </row>
    <row r="26" s="44" customFormat="1" ht="22.25" customHeight="1" spans="1:6">
      <c r="A26" s="65"/>
      <c r="B26" s="66" t="s">
        <v>274</v>
      </c>
      <c r="C26" s="68"/>
      <c r="D26" s="66">
        <v>2</v>
      </c>
      <c r="E26" s="66">
        <v>760</v>
      </c>
      <c r="F26" s="69"/>
    </row>
    <row r="27" s="44" customFormat="1" ht="22.25" customHeight="1" spans="1:6">
      <c r="A27" s="65"/>
      <c r="B27" s="66" t="s">
        <v>275</v>
      </c>
      <c r="C27" s="68"/>
      <c r="D27" s="66">
        <v>1</v>
      </c>
      <c r="E27" s="66">
        <v>440</v>
      </c>
      <c r="F27" s="69"/>
    </row>
    <row r="28" s="44" customFormat="1" ht="22.25" customHeight="1" spans="1:6">
      <c r="A28" s="70"/>
      <c r="B28" s="66" t="s">
        <v>275</v>
      </c>
      <c r="C28" s="68"/>
      <c r="D28" s="57">
        <v>2</v>
      </c>
      <c r="E28" s="57">
        <v>380</v>
      </c>
      <c r="F28" s="58"/>
    </row>
    <row r="29" s="44" customFormat="1" ht="4.75" customHeight="1" spans="1:6">
      <c r="A29" s="77"/>
      <c r="B29" s="78"/>
      <c r="C29" s="79"/>
      <c r="D29" s="80"/>
      <c r="E29" s="80"/>
      <c r="F29" s="81"/>
    </row>
    <row r="30" s="44" customFormat="1" ht="18.65" customHeight="1" spans="1:6">
      <c r="A30" s="82" t="s">
        <v>278</v>
      </c>
      <c r="B30" s="83"/>
      <c r="C30" s="84" t="s">
        <v>279</v>
      </c>
      <c r="D30" s="54"/>
      <c r="E30" s="83" t="s">
        <v>280</v>
      </c>
      <c r="F30" s="64" t="s">
        <v>281</v>
      </c>
    </row>
    <row r="31" s="44" customFormat="1" ht="18.65" customHeight="1" spans="1:6">
      <c r="A31" s="85" t="s">
        <v>282</v>
      </c>
      <c r="B31" s="68"/>
      <c r="C31" s="86" t="s">
        <v>283</v>
      </c>
      <c r="D31" s="66"/>
      <c r="E31" s="87" t="s">
        <v>284</v>
      </c>
      <c r="F31" s="69"/>
    </row>
    <row r="32" s="44" customFormat="1" ht="18.65" customHeight="1" spans="1:6">
      <c r="A32" s="88" t="s">
        <v>285</v>
      </c>
      <c r="B32" s="71"/>
      <c r="C32" s="71"/>
      <c r="D32" s="71"/>
      <c r="E32" s="71"/>
      <c r="F32" s="72"/>
    </row>
  </sheetData>
  <mergeCells count="29">
    <mergeCell ref="A1:B1"/>
    <mergeCell ref="C1:F1"/>
    <mergeCell ref="A2:F2"/>
    <mergeCell ref="B8:D8"/>
    <mergeCell ref="B9:D9"/>
    <mergeCell ref="B10:D10"/>
    <mergeCell ref="B11:D11"/>
    <mergeCell ref="B12:D12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A31:B31"/>
    <mergeCell ref="A32:F32"/>
    <mergeCell ref="A8:A12"/>
    <mergeCell ref="A14:A18"/>
    <mergeCell ref="A19:A23"/>
    <mergeCell ref="A24:A28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"/>
  <sheetViews>
    <sheetView workbookViewId="0">
      <selection activeCell="A2" sqref="A2:F2"/>
    </sheetView>
  </sheetViews>
  <sheetFormatPr defaultColWidth="8.91666666666667" defaultRowHeight="15.5" outlineLevelCol="6"/>
  <cols>
    <col min="1" max="1" width="20.3333333333333" style="46" customWidth="1"/>
    <col min="2" max="4" width="22.75" style="46" customWidth="1"/>
    <col min="5" max="5" width="26.3333333333333" style="46" customWidth="1"/>
    <col min="6" max="6" width="22.75" style="46" customWidth="1"/>
    <col min="7" max="16384" width="8.91666666666667" style="46" customWidth="1"/>
  </cols>
  <sheetData>
    <row r="1" s="43" customFormat="1" ht="67.75" customHeight="1" spans="1:7">
      <c r="A1" s="47"/>
      <c r="B1" s="5"/>
      <c r="C1" s="48"/>
      <c r="D1" s="5"/>
      <c r="E1" s="5"/>
      <c r="F1" s="49"/>
    </row>
    <row r="2" s="44" customFormat="1" ht="24.65" customHeight="1" spans="1:7">
      <c r="A2" s="50" t="s">
        <v>286</v>
      </c>
      <c r="B2" s="5"/>
      <c r="C2" s="5"/>
      <c r="D2" s="5"/>
      <c r="E2" s="5"/>
      <c r="F2" s="49"/>
      <c r="G2" s="51"/>
    </row>
    <row r="3" s="44" customFormat="1" ht="6" customHeight="1" spans="1:7">
      <c r="A3" s="52"/>
      <c r="B3" s="52"/>
      <c r="C3" s="52"/>
      <c r="D3" s="52"/>
      <c r="E3" s="52"/>
      <c r="F3" s="52"/>
    </row>
    <row r="4" s="45" customFormat="1" ht="19.75" customHeight="1" spans="1:7">
      <c r="A4" s="53" t="s">
        <v>260</v>
      </c>
      <c r="B4" s="54" t="s">
        <v>253</v>
      </c>
      <c r="C4" s="54" t="s">
        <v>261</v>
      </c>
      <c r="D4" s="54" t="s">
        <v>262</v>
      </c>
      <c r="E4" s="54" t="s">
        <v>263</v>
      </c>
      <c r="F4" s="55" t="s">
        <v>264</v>
      </c>
    </row>
    <row r="5" s="45" customFormat="1" ht="19.75" customHeight="1" spans="1:7">
      <c r="A5" s="56"/>
      <c r="B5" s="57"/>
      <c r="C5" s="57"/>
      <c r="D5" s="57"/>
      <c r="E5" s="57"/>
      <c r="F5" s="58"/>
    </row>
    <row r="6" s="45" customFormat="1" ht="6.65" customHeight="1" spans="1:7">
      <c r="A6" s="59"/>
      <c r="B6" s="60"/>
      <c r="C6" s="60"/>
      <c r="D6" s="60"/>
      <c r="E6" s="60"/>
      <c r="F6" s="60"/>
    </row>
    <row r="7" s="45" customFormat="1" ht="36" customHeight="1" spans="1:7">
      <c r="A7" s="53" t="s">
        <v>265</v>
      </c>
      <c r="B7" s="54" t="s">
        <v>77</v>
      </c>
      <c r="C7" s="61"/>
      <c r="D7" s="62"/>
      <c r="E7" s="63" t="s">
        <v>266</v>
      </c>
      <c r="F7" s="64" t="s">
        <v>199</v>
      </c>
    </row>
    <row r="8" s="45" customFormat="1" ht="20.4" customHeight="1" spans="1:7">
      <c r="A8" s="65"/>
      <c r="B8" s="66" t="s">
        <v>267</v>
      </c>
      <c r="C8" s="67"/>
      <c r="D8" s="68"/>
      <c r="E8" s="66">
        <v>100</v>
      </c>
      <c r="F8" s="69"/>
    </row>
    <row r="9" s="45" customFormat="1" ht="20.4" customHeight="1" spans="1:7">
      <c r="A9" s="65"/>
      <c r="B9" s="66" t="s">
        <v>269</v>
      </c>
      <c r="C9" s="67"/>
      <c r="D9" s="68"/>
      <c r="E9" s="66">
        <v>32</v>
      </c>
      <c r="F9" s="69"/>
    </row>
    <row r="10" s="45" customFormat="1" ht="20.4" customHeight="1" spans="1:7">
      <c r="A10" s="70"/>
      <c r="B10" s="57" t="s">
        <v>270</v>
      </c>
      <c r="C10" s="71"/>
      <c r="D10" s="72"/>
      <c r="E10" s="57">
        <v>1</v>
      </c>
      <c r="F10" s="58"/>
    </row>
    <row r="11" s="45" customFormat="1" ht="6.65" customHeight="1" spans="1:7">
      <c r="A11" s="73"/>
      <c r="B11" s="73"/>
      <c r="C11" s="73"/>
      <c r="D11" s="73"/>
      <c r="E11" s="73"/>
      <c r="F11" s="73"/>
    </row>
    <row r="12" s="45" customFormat="1" ht="31.25" customHeight="1" spans="1:7">
      <c r="A12" s="74" t="s">
        <v>287</v>
      </c>
      <c r="B12" s="54" t="s">
        <v>77</v>
      </c>
      <c r="C12" s="62"/>
      <c r="D12" s="54" t="s">
        <v>272</v>
      </c>
      <c r="E12" s="63" t="s">
        <v>266</v>
      </c>
      <c r="F12" s="64" t="s">
        <v>199</v>
      </c>
    </row>
    <row r="13" s="45" customFormat="1" ht="31.25" customHeight="1" spans="1:7">
      <c r="A13" s="65"/>
      <c r="B13" s="66" t="s">
        <v>288</v>
      </c>
      <c r="C13" s="68"/>
      <c r="D13" s="66">
        <v>1</v>
      </c>
      <c r="E13" s="66">
        <v>600</v>
      </c>
      <c r="F13" s="69"/>
    </row>
    <row r="14" s="45" customFormat="1" ht="31.25" customHeight="1" spans="1:7">
      <c r="A14" s="65"/>
      <c r="B14" s="66" t="s">
        <v>274</v>
      </c>
      <c r="C14" s="68"/>
      <c r="D14" s="66">
        <v>2</v>
      </c>
      <c r="E14" s="66">
        <v>500</v>
      </c>
      <c r="F14" s="69"/>
    </row>
    <row r="15" s="45" customFormat="1" ht="31.25" customHeight="1" spans="1:7">
      <c r="A15" s="65"/>
      <c r="B15" s="66" t="s">
        <v>275</v>
      </c>
      <c r="C15" s="68"/>
      <c r="D15" s="66">
        <v>1</v>
      </c>
      <c r="E15" s="66">
        <v>600</v>
      </c>
      <c r="F15" s="69"/>
    </row>
    <row r="16" s="45" customFormat="1" ht="31.25" customHeight="1" spans="1:7">
      <c r="A16" s="70"/>
      <c r="B16" s="66" t="s">
        <v>275</v>
      </c>
      <c r="C16" s="68"/>
      <c r="D16" s="66">
        <v>2</v>
      </c>
      <c r="E16" s="66">
        <v>500</v>
      </c>
      <c r="F16" s="69"/>
    </row>
    <row r="17" s="44" customFormat="1" ht="31.25" customHeight="1" spans="1:6">
      <c r="A17" s="75" t="s">
        <v>289</v>
      </c>
      <c r="B17" s="66" t="s">
        <v>77</v>
      </c>
      <c r="C17" s="68"/>
      <c r="D17" s="66" t="s">
        <v>272</v>
      </c>
      <c r="E17" s="76" t="s">
        <v>266</v>
      </c>
      <c r="F17" s="69" t="s">
        <v>199</v>
      </c>
    </row>
    <row r="18" s="44" customFormat="1" ht="24" customHeight="1" spans="1:6">
      <c r="A18" s="65"/>
      <c r="B18" s="66" t="s">
        <v>288</v>
      </c>
      <c r="C18" s="68"/>
      <c r="D18" s="66">
        <v>1</v>
      </c>
      <c r="E18" s="66">
        <v>700</v>
      </c>
      <c r="F18" s="69"/>
    </row>
    <row r="19" s="44" customFormat="1" ht="24" customHeight="1" spans="1:6">
      <c r="A19" s="65"/>
      <c r="B19" s="66" t="s">
        <v>274</v>
      </c>
      <c r="C19" s="68"/>
      <c r="D19" s="66">
        <v>2</v>
      </c>
      <c r="E19" s="66">
        <v>600</v>
      </c>
      <c r="F19" s="69"/>
    </row>
    <row r="20" s="44" customFormat="1" ht="24" customHeight="1" spans="1:6">
      <c r="A20" s="65"/>
      <c r="B20" s="66" t="s">
        <v>275</v>
      </c>
      <c r="C20" s="68"/>
      <c r="D20" s="66">
        <v>1</v>
      </c>
      <c r="E20" s="66">
        <v>700</v>
      </c>
      <c r="F20" s="69"/>
    </row>
    <row r="21" s="44" customFormat="1" ht="24" customHeight="1" spans="1:6">
      <c r="A21" s="70"/>
      <c r="B21" s="66" t="s">
        <v>275</v>
      </c>
      <c r="C21" s="68"/>
      <c r="D21" s="66">
        <v>2</v>
      </c>
      <c r="E21" s="66">
        <v>600</v>
      </c>
      <c r="F21" s="69"/>
    </row>
    <row r="22" s="44" customFormat="1" ht="33" customHeight="1" spans="1:6">
      <c r="A22" s="75" t="s">
        <v>276</v>
      </c>
      <c r="B22" s="66" t="s">
        <v>77</v>
      </c>
      <c r="C22" s="68"/>
      <c r="D22" s="66" t="s">
        <v>272</v>
      </c>
      <c r="E22" s="76" t="s">
        <v>266</v>
      </c>
      <c r="F22" s="69" t="s">
        <v>199</v>
      </c>
    </row>
    <row r="23" s="44" customFormat="1" ht="24" customHeight="1" spans="1:6">
      <c r="A23" s="65"/>
      <c r="B23" s="66" t="s">
        <v>288</v>
      </c>
      <c r="C23" s="68"/>
      <c r="D23" s="66">
        <v>1</v>
      </c>
      <c r="E23" s="66">
        <v>800</v>
      </c>
      <c r="F23" s="69"/>
    </row>
    <row r="24" s="44" customFormat="1" ht="24" customHeight="1" spans="1:6">
      <c r="A24" s="65"/>
      <c r="B24" s="66" t="s">
        <v>274</v>
      </c>
      <c r="C24" s="68"/>
      <c r="D24" s="66">
        <v>2</v>
      </c>
      <c r="E24" s="66">
        <v>1600</v>
      </c>
      <c r="F24" s="69"/>
    </row>
    <row r="25" s="44" customFormat="1" ht="24" customHeight="1" spans="1:6">
      <c r="A25" s="65"/>
      <c r="B25" s="66" t="s">
        <v>275</v>
      </c>
      <c r="C25" s="68"/>
      <c r="D25" s="66">
        <v>1</v>
      </c>
      <c r="E25" s="66">
        <v>800</v>
      </c>
      <c r="F25" s="69"/>
    </row>
    <row r="26" s="44" customFormat="1" ht="24" customHeight="1" spans="1:6">
      <c r="A26" s="70"/>
      <c r="B26" s="66" t="s">
        <v>275</v>
      </c>
      <c r="C26" s="68"/>
      <c r="D26" s="66">
        <v>2</v>
      </c>
      <c r="E26" s="66">
        <v>800</v>
      </c>
      <c r="F26" s="69"/>
    </row>
    <row r="27" s="44" customFormat="1" ht="30.65" customHeight="1" spans="1:6">
      <c r="A27" s="75" t="s">
        <v>277</v>
      </c>
      <c r="B27" s="66" t="s">
        <v>77</v>
      </c>
      <c r="C27" s="68"/>
      <c r="D27" s="66" t="s">
        <v>272</v>
      </c>
      <c r="E27" s="76" t="s">
        <v>266</v>
      </c>
      <c r="F27" s="69" t="s">
        <v>199</v>
      </c>
    </row>
    <row r="28" s="44" customFormat="1" ht="24" customHeight="1" spans="1:6">
      <c r="A28" s="65"/>
      <c r="B28" s="66" t="s">
        <v>288</v>
      </c>
      <c r="C28" s="68"/>
      <c r="D28" s="66">
        <v>1</v>
      </c>
      <c r="E28" s="66">
        <v>1100</v>
      </c>
      <c r="F28" s="69"/>
    </row>
    <row r="29" s="44" customFormat="1" ht="24" customHeight="1" spans="1:6">
      <c r="A29" s="65"/>
      <c r="B29" s="66" t="s">
        <v>274</v>
      </c>
      <c r="C29" s="68"/>
      <c r="D29" s="66">
        <v>2</v>
      </c>
      <c r="E29" s="66">
        <v>900</v>
      </c>
      <c r="F29" s="69"/>
    </row>
    <row r="30" s="44" customFormat="1" ht="24" customHeight="1" spans="1:6">
      <c r="A30" s="65"/>
      <c r="B30" s="66" t="s">
        <v>275</v>
      </c>
      <c r="C30" s="68"/>
      <c r="D30" s="66">
        <v>1</v>
      </c>
      <c r="E30" s="66">
        <v>1100</v>
      </c>
      <c r="F30" s="69"/>
    </row>
    <row r="31" s="44" customFormat="1" ht="24" customHeight="1" spans="1:6">
      <c r="A31" s="70"/>
      <c r="B31" s="57" t="s">
        <v>275</v>
      </c>
      <c r="C31" s="72"/>
      <c r="D31" s="57">
        <v>2</v>
      </c>
      <c r="E31" s="57">
        <v>900</v>
      </c>
      <c r="F31" s="58"/>
    </row>
    <row r="32" s="44" customFormat="1" ht="7.25" customHeight="1" spans="1:6">
      <c r="A32" s="77"/>
      <c r="B32" s="78"/>
      <c r="C32" s="79"/>
      <c r="D32" s="80"/>
      <c r="E32" s="80"/>
      <c r="F32" s="81"/>
    </row>
    <row r="33" s="44" customFormat="1" ht="36" customHeight="1" spans="1:6">
      <c r="A33" s="82" t="s">
        <v>278</v>
      </c>
      <c r="B33" s="83"/>
      <c r="C33" s="84" t="s">
        <v>279</v>
      </c>
      <c r="D33" s="54"/>
      <c r="E33" s="83" t="s">
        <v>280</v>
      </c>
      <c r="F33" s="64" t="s">
        <v>281</v>
      </c>
    </row>
    <row r="34" s="44" customFormat="1" ht="19.75" customHeight="1" spans="1:6">
      <c r="A34" s="85" t="s">
        <v>282</v>
      </c>
      <c r="B34" s="68"/>
      <c r="C34" s="86" t="s">
        <v>283</v>
      </c>
      <c r="D34" s="66"/>
      <c r="E34" s="87" t="s">
        <v>284</v>
      </c>
      <c r="F34" s="69"/>
    </row>
    <row r="35" s="44" customFormat="1" ht="19.75" customHeight="1" spans="1:6">
      <c r="A35" s="88" t="s">
        <v>285</v>
      </c>
      <c r="B35" s="71"/>
      <c r="C35" s="71"/>
      <c r="D35" s="71"/>
      <c r="E35" s="71"/>
      <c r="F35" s="72"/>
    </row>
    <row r="36" s="44" customFormat="1" ht="19.75" customHeight="1"/>
    <row r="37" s="44" customFormat="1" ht="19.75" customHeight="1"/>
  </sheetData>
  <mergeCells count="34">
    <mergeCell ref="A1:B1"/>
    <mergeCell ref="C1:F1"/>
    <mergeCell ref="A2:F2"/>
    <mergeCell ref="B7:D7"/>
    <mergeCell ref="B8:D8"/>
    <mergeCell ref="B9:D9"/>
    <mergeCell ref="B10:D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A34:B34"/>
    <mergeCell ref="A35:F35"/>
    <mergeCell ref="A7:A10"/>
    <mergeCell ref="A12:A16"/>
    <mergeCell ref="A17:A21"/>
    <mergeCell ref="A22:A26"/>
    <mergeCell ref="A27:A31"/>
  </mergeCell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tabSelected="1" topLeftCell="A17" workbookViewId="0">
      <selection activeCell="H12" sqref="H12"/>
    </sheetView>
  </sheetViews>
  <sheetFormatPr defaultColWidth="9" defaultRowHeight="14" outlineLevelCol="4"/>
  <cols>
    <col min="1" max="1" width="13.75" customWidth="1"/>
    <col min="2" max="2" width="26.9166666666667" customWidth="1"/>
    <col min="3" max="3" width="19.3333333333333" customWidth="1"/>
    <col min="4" max="4" width="25.5833333333333" customWidth="1"/>
    <col min="5" max="5" width="23.25" customWidth="1"/>
  </cols>
  <sheetData>
    <row r="1" ht="58.75" customHeight="1" spans="1:5">
      <c r="A1" s="1"/>
      <c r="B1" s="2"/>
      <c r="C1" s="3"/>
      <c r="D1" s="3"/>
      <c r="E1" s="3"/>
    </row>
    <row r="2" ht="24" customHeight="1" spans="1:5">
      <c r="A2" s="4" t="s">
        <v>290</v>
      </c>
      <c r="B2" s="5"/>
      <c r="C2" s="5"/>
      <c r="D2" s="5"/>
      <c r="E2" s="6"/>
    </row>
    <row r="3" ht="24" customHeight="1" spans="1:5">
      <c r="A3" s="7" t="s">
        <v>291</v>
      </c>
      <c r="B3" s="8"/>
      <c r="C3" s="8"/>
      <c r="D3" s="9" t="s">
        <v>292</v>
      </c>
      <c r="E3" s="10"/>
    </row>
    <row r="4" ht="24" customHeight="1" spans="1:5">
      <c r="A4" s="11" t="s">
        <v>293</v>
      </c>
      <c r="B4" s="12"/>
      <c r="C4" s="12"/>
      <c r="D4" s="13" t="s">
        <v>294</v>
      </c>
      <c r="E4" s="14"/>
    </row>
    <row r="5" ht="6" customHeight="1" spans="1:5">
      <c r="A5" s="15"/>
      <c r="B5" s="15"/>
      <c r="C5" s="15"/>
      <c r="D5" s="15"/>
      <c r="E5" s="15"/>
    </row>
    <row r="6" ht="6" customHeight="1" spans="1:5">
      <c r="A6" s="15"/>
      <c r="B6" s="15"/>
      <c r="C6" s="15"/>
      <c r="D6" s="15"/>
      <c r="E6" s="15"/>
    </row>
    <row r="7" ht="30" customHeight="1" spans="1:5">
      <c r="A7" s="16" t="s">
        <v>295</v>
      </c>
      <c r="B7" s="17" t="s">
        <v>296</v>
      </c>
      <c r="C7" s="17" t="s">
        <v>297</v>
      </c>
      <c r="D7" s="18" t="s">
        <v>298</v>
      </c>
      <c r="E7" s="19"/>
    </row>
    <row r="8" ht="24" customHeight="1" spans="1:5">
      <c r="A8" s="20"/>
      <c r="B8" s="12"/>
      <c r="C8" s="12"/>
      <c r="D8" s="21"/>
      <c r="E8" s="22"/>
    </row>
    <row r="9" ht="6" customHeight="1" spans="1:5">
      <c r="A9" s="15"/>
      <c r="B9" s="15"/>
      <c r="C9" s="15"/>
      <c r="D9" s="15"/>
      <c r="E9" s="15"/>
    </row>
    <row r="10" ht="24" customHeight="1" spans="1:5">
      <c r="A10" s="16" t="s">
        <v>299</v>
      </c>
      <c r="B10" s="17" t="s">
        <v>300</v>
      </c>
      <c r="C10" s="17"/>
      <c r="D10" s="17" t="s">
        <v>301</v>
      </c>
      <c r="E10" s="23" t="s">
        <v>302</v>
      </c>
    </row>
    <row r="11" ht="24" customHeight="1" spans="1:5">
      <c r="A11" s="24"/>
      <c r="B11" s="25" t="s">
        <v>303</v>
      </c>
      <c r="C11" s="25"/>
      <c r="D11" s="25">
        <v>102</v>
      </c>
      <c r="E11" s="26"/>
    </row>
    <row r="12" ht="24" customHeight="1" spans="1:5">
      <c r="A12" s="24"/>
      <c r="B12" s="25" t="s">
        <v>304</v>
      </c>
      <c r="C12" s="25"/>
      <c r="D12" s="25">
        <v>34</v>
      </c>
      <c r="E12" s="26"/>
    </row>
    <row r="13" ht="24" customHeight="1" spans="1:5">
      <c r="A13" s="24"/>
      <c r="B13" s="25" t="s">
        <v>305</v>
      </c>
      <c r="C13" s="25"/>
      <c r="D13" s="25">
        <v>136</v>
      </c>
      <c r="E13" s="26"/>
    </row>
    <row r="14" ht="36" customHeight="1" spans="1:5">
      <c r="A14" s="20"/>
      <c r="B14" s="27" t="s">
        <v>306</v>
      </c>
      <c r="C14" s="28"/>
      <c r="D14" s="28"/>
      <c r="E14" s="29"/>
    </row>
    <row r="15" ht="6" customHeight="1" spans="1:5">
      <c r="A15" s="15"/>
      <c r="B15" s="15"/>
      <c r="C15" s="15"/>
      <c r="D15" s="15"/>
      <c r="E15" s="15"/>
    </row>
    <row r="16" ht="42" customHeight="1" spans="1:5">
      <c r="A16" s="16" t="s">
        <v>307</v>
      </c>
      <c r="B16" s="30" t="s">
        <v>308</v>
      </c>
      <c r="C16" s="30"/>
      <c r="D16" s="30"/>
      <c r="E16" s="31"/>
    </row>
    <row r="17" ht="48" customHeight="1" spans="1:5">
      <c r="A17" s="20"/>
      <c r="B17" s="28" t="s">
        <v>309</v>
      </c>
      <c r="C17" s="28"/>
      <c r="D17" s="28"/>
      <c r="E17" s="29"/>
    </row>
    <row r="18" ht="6" customHeight="1" spans="1:5">
      <c r="A18" s="15"/>
      <c r="B18" s="15"/>
      <c r="C18" s="15"/>
      <c r="D18" s="15"/>
      <c r="E18" s="15"/>
    </row>
    <row r="19" ht="24" customHeight="1" spans="1:5">
      <c r="A19" s="16" t="s">
        <v>310</v>
      </c>
      <c r="B19" s="17" t="s">
        <v>311</v>
      </c>
      <c r="C19" s="17" t="s">
        <v>302</v>
      </c>
      <c r="D19" s="17" t="s">
        <v>311</v>
      </c>
      <c r="E19" s="23" t="s">
        <v>302</v>
      </c>
    </row>
    <row r="20" ht="24" customHeight="1" spans="1:5">
      <c r="A20" s="24"/>
      <c r="B20" s="25" t="s">
        <v>312</v>
      </c>
      <c r="C20" s="25"/>
      <c r="D20" s="25" t="s">
        <v>313</v>
      </c>
      <c r="E20" s="26"/>
    </row>
    <row r="21" ht="24" customHeight="1" spans="1:5">
      <c r="A21" s="24"/>
      <c r="B21" s="25" t="s">
        <v>314</v>
      </c>
      <c r="C21" s="25"/>
      <c r="D21" s="25" t="s">
        <v>315</v>
      </c>
      <c r="E21" s="26"/>
    </row>
    <row r="22" ht="24" customHeight="1" spans="1:5">
      <c r="A22" s="20"/>
      <c r="B22" s="32" t="s">
        <v>316</v>
      </c>
      <c r="C22" s="32"/>
      <c r="D22" s="32"/>
      <c r="E22" s="33"/>
    </row>
    <row r="23" ht="6" customHeight="1" spans="1:5">
      <c r="A23" s="15"/>
      <c r="B23" s="15"/>
      <c r="C23" s="15"/>
      <c r="D23" s="15"/>
      <c r="E23" s="15"/>
    </row>
    <row r="24" ht="30" customHeight="1" spans="1:5">
      <c r="A24" s="34" t="s">
        <v>317</v>
      </c>
      <c r="B24" s="17" t="s">
        <v>318</v>
      </c>
      <c r="C24" s="17" t="s">
        <v>255</v>
      </c>
      <c r="D24" s="17" t="s">
        <v>319</v>
      </c>
      <c r="E24" s="23" t="s">
        <v>302</v>
      </c>
    </row>
    <row r="25" ht="25" customHeight="1" spans="1:5">
      <c r="A25" s="24"/>
      <c r="B25" s="25"/>
      <c r="C25" s="25"/>
      <c r="D25" s="25" t="s">
        <v>320</v>
      </c>
      <c r="E25" s="26"/>
    </row>
    <row r="26" ht="25" customHeight="1" spans="1:5">
      <c r="A26" s="20"/>
      <c r="B26" s="35" t="s">
        <v>321</v>
      </c>
      <c r="C26" s="36"/>
      <c r="D26" s="36"/>
      <c r="E26" s="37"/>
    </row>
    <row r="27" ht="6" customHeight="1" spans="1:5">
      <c r="A27" s="15"/>
      <c r="B27" s="15"/>
      <c r="C27" s="15"/>
      <c r="D27" s="15"/>
      <c r="E27" s="15"/>
    </row>
    <row r="28" ht="25" customHeight="1" spans="1:5">
      <c r="A28" s="38" t="s">
        <v>322</v>
      </c>
      <c r="B28" s="39"/>
      <c r="C28" s="40"/>
      <c r="D28" s="41" t="s">
        <v>323</v>
      </c>
      <c r="E28" s="42"/>
    </row>
  </sheetData>
  <mergeCells count="22">
    <mergeCell ref="A1:B1"/>
    <mergeCell ref="C1:E1"/>
    <mergeCell ref="A2:E2"/>
    <mergeCell ref="B3:C3"/>
    <mergeCell ref="B4:C4"/>
    <mergeCell ref="B10:C10"/>
    <mergeCell ref="B11:C11"/>
    <mergeCell ref="B12:C12"/>
    <mergeCell ref="B13:C13"/>
    <mergeCell ref="B14:E14"/>
    <mergeCell ref="B16:E16"/>
    <mergeCell ref="B17:E17"/>
    <mergeCell ref="B22:E22"/>
    <mergeCell ref="B26:E26"/>
    <mergeCell ref="A28:C28"/>
    <mergeCell ref="D28:E28"/>
    <mergeCell ref="A7:A8"/>
    <mergeCell ref="A10:A14"/>
    <mergeCell ref="A16:A17"/>
    <mergeCell ref="A19:A22"/>
    <mergeCell ref="A24:A26"/>
    <mergeCell ref="D7:E8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样本前处理</vt:lpstr>
      <vt:lpstr>GenSIRO-48提取建库</vt:lpstr>
      <vt:lpstr>G99测序</vt:lpstr>
      <vt:lpstr>200测序</vt:lpstr>
      <vt:lpstr>2000测序</vt:lpstr>
      <vt:lpstr>E25测序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高源</cp:lastModifiedBy>
  <dcterms:created xsi:type="dcterms:W3CDTF">2026-08-31T02:48:28Z</dcterms:created>
  <dcterms:modified xsi:type="dcterms:W3CDTF">2026-08-31T03:02:02Z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DA012A50C4104DEAA5FE902E2F858BA7_12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0</vt:i4>
  </property>
</Properties>
</file>